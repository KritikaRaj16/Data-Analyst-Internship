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is\"/>
    </mc:Choice>
  </mc:AlternateContent>
  <xr:revisionPtr revIDLastSave="0" documentId="8_{AD74A38C-D4DA-4AF5-9C4B-A4EC7B24A0CB}" xr6:coauthVersionLast="47" xr6:coauthVersionMax="47" xr10:uidLastSave="{00000000-0000-0000-0000-000000000000}"/>
  <bookViews>
    <workbookView xWindow="-108" yWindow="-108" windowWidth="23256" windowHeight="13176" activeTab="4" xr2:uid="{1DBE7728-02FA-4B2C-B446-9CAB8E294495}"/>
  </bookViews>
  <sheets>
    <sheet name="Pivot Table" sheetId="2" r:id="rId1"/>
    <sheet name="Loan" sheetId="3" r:id="rId2"/>
    <sheet name="SchoolShopping" sheetId="4" r:id="rId3"/>
    <sheet name="petExpense" sheetId="5" r:id="rId4"/>
    <sheet name="VacationSuggestion" sheetId="6" r:id="rId5"/>
    <sheet name="car_database_raw" sheetId="1" r:id="rId6"/>
  </sheets>
  <calcPr calcId="0"/>
  <pivotCaches>
    <pivotCache cacheId="9" r:id="rId7"/>
  </pivotCaches>
</workbook>
</file>

<file path=xl/calcChain.xml><?xml version="1.0" encoding="utf-8"?>
<calcChain xmlns="http://schemas.openxmlformats.org/spreadsheetml/2006/main">
  <c r="J16" i="6" l="1"/>
  <c r="N21" i="6"/>
  <c r="M21" i="6"/>
  <c r="L21" i="6"/>
  <c r="K21" i="6"/>
  <c r="J21" i="6"/>
  <c r="K16" i="6"/>
  <c r="K24" i="6" s="1"/>
  <c r="J24" i="6"/>
  <c r="N14" i="6"/>
  <c r="N16" i="6" s="1"/>
  <c r="M14" i="6"/>
  <c r="M16" i="6" s="1"/>
  <c r="M24" i="6" s="1"/>
  <c r="L14" i="6"/>
  <c r="L16" i="6" s="1"/>
  <c r="L24" i="6" s="1"/>
  <c r="K14" i="6"/>
  <c r="J14" i="6"/>
  <c r="C21" i="6"/>
  <c r="C24" i="6" s="1"/>
  <c r="D21" i="6"/>
  <c r="D24" i="6" s="1"/>
  <c r="E21" i="6"/>
  <c r="E24" i="6" s="1"/>
  <c r="F21" i="6"/>
  <c r="F24" i="6" s="1"/>
  <c r="B21" i="6"/>
  <c r="B24" i="6" s="1"/>
  <c r="C14" i="6"/>
  <c r="C16" i="6" s="1"/>
  <c r="D14" i="6"/>
  <c r="D16" i="6" s="1"/>
  <c r="E14" i="6"/>
  <c r="E16" i="6" s="1"/>
  <c r="F14" i="6"/>
  <c r="F16" i="6" s="1"/>
  <c r="B14" i="6"/>
  <c r="B16" i="6" s="1"/>
  <c r="C19" i="5"/>
  <c r="B19" i="5"/>
  <c r="C17" i="5"/>
  <c r="C16" i="5"/>
  <c r="B17" i="5"/>
  <c r="B16" i="5"/>
  <c r="C9" i="5"/>
  <c r="B9" i="5"/>
  <c r="P16" i="4"/>
  <c r="Q16" i="4"/>
  <c r="O16" i="4"/>
  <c r="Q3" i="4"/>
  <c r="P3" i="4"/>
  <c r="O3" i="4"/>
  <c r="Q13" i="4"/>
  <c r="Q12" i="4"/>
  <c r="Q11" i="4"/>
  <c r="Q10" i="4"/>
  <c r="Q9" i="4"/>
  <c r="Q8" i="4"/>
  <c r="Q7" i="4"/>
  <c r="Q6" i="4"/>
  <c r="Q5" i="4"/>
  <c r="Q4" i="4"/>
  <c r="P13" i="4"/>
  <c r="P12" i="4"/>
  <c r="P11" i="4"/>
  <c r="P10" i="4"/>
  <c r="P9" i="4"/>
  <c r="P8" i="4"/>
  <c r="P7" i="4"/>
  <c r="P6" i="4"/>
  <c r="P5" i="4"/>
  <c r="P4" i="4"/>
  <c r="O4" i="4"/>
  <c r="O5" i="4"/>
  <c r="O6" i="4"/>
  <c r="O7" i="4"/>
  <c r="O8" i="4"/>
  <c r="O9" i="4"/>
  <c r="O10" i="4"/>
  <c r="O11" i="4"/>
  <c r="O12" i="4"/>
  <c r="O13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6" i="4"/>
  <c r="J16" i="4"/>
  <c r="H16" i="4"/>
  <c r="H4" i="4"/>
  <c r="H5" i="4"/>
  <c r="H6" i="4"/>
  <c r="H7" i="4"/>
  <c r="H8" i="4"/>
  <c r="H9" i="4"/>
  <c r="H10" i="4"/>
  <c r="H11" i="4"/>
  <c r="H12" i="4"/>
  <c r="H13" i="4"/>
  <c r="H3" i="4"/>
  <c r="G3" i="3"/>
  <c r="G4" i="3"/>
  <c r="F2" i="3"/>
  <c r="G2" i="3"/>
  <c r="F3" i="3"/>
  <c r="F4" i="3"/>
  <c r="E3" i="3"/>
  <c r="E4" i="3"/>
  <c r="E2" i="3"/>
  <c r="O70" i="1"/>
  <c r="O28" i="1"/>
  <c r="O3" i="1"/>
  <c r="O54" i="1"/>
  <c r="O38" i="1"/>
  <c r="O13" i="1"/>
  <c r="O36" i="1"/>
  <c r="O57" i="1"/>
  <c r="O62" i="1"/>
  <c r="O43" i="1"/>
  <c r="O37" i="1"/>
  <c r="O7" i="1"/>
  <c r="O16" i="1"/>
  <c r="O44" i="1"/>
  <c r="O11" i="1"/>
  <c r="O60" i="1"/>
  <c r="O46" i="1"/>
  <c r="O40" i="1"/>
  <c r="O23" i="1"/>
  <c r="O32" i="1"/>
  <c r="O65" i="1"/>
  <c r="O19" i="1"/>
  <c r="O10" i="1"/>
  <c r="O29" i="1"/>
  <c r="O58" i="1"/>
  <c r="O14" i="1"/>
  <c r="O26" i="1"/>
  <c r="O52" i="1"/>
  <c r="O56" i="1"/>
  <c r="O42" i="1"/>
  <c r="O24" i="1"/>
  <c r="O12" i="1"/>
  <c r="O49" i="1"/>
  <c r="O47" i="1"/>
  <c r="O27" i="1"/>
  <c r="O67" i="1"/>
  <c r="O48" i="1"/>
  <c r="O39" i="1"/>
  <c r="O61" i="1"/>
  <c r="O50" i="1"/>
  <c r="O41" i="1"/>
  <c r="O66" i="1"/>
  <c r="O33" i="1"/>
  <c r="O2" i="1"/>
  <c r="O21" i="1"/>
  <c r="O5" i="1"/>
  <c r="O20" i="1"/>
  <c r="O64" i="1"/>
  <c r="O63" i="1"/>
  <c r="O51" i="1"/>
  <c r="O17" i="1"/>
  <c r="O30" i="1"/>
  <c r="O69" i="1"/>
  <c r="O55" i="1"/>
  <c r="O53" i="1"/>
  <c r="O4" i="1"/>
  <c r="O6" i="1"/>
  <c r="O25" i="1"/>
  <c r="O9" i="1"/>
  <c r="O15" i="1"/>
  <c r="O8" i="1"/>
  <c r="O22" i="1"/>
  <c r="O68" i="1"/>
  <c r="O71" i="1"/>
  <c r="O45" i="1"/>
  <c r="O18" i="1"/>
  <c r="O59" i="1"/>
  <c r="O34" i="1"/>
  <c r="O35" i="1"/>
  <c r="O31" i="1"/>
  <c r="C66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7" i="1"/>
  <c r="C68" i="1"/>
  <c r="C69" i="1"/>
  <c r="C70" i="1"/>
  <c r="C71" i="1"/>
  <c r="N70" i="1"/>
  <c r="N28" i="1"/>
  <c r="N3" i="1"/>
  <c r="N54" i="1"/>
  <c r="N38" i="1"/>
  <c r="N13" i="1"/>
  <c r="N36" i="1"/>
  <c r="N57" i="1"/>
  <c r="N62" i="1"/>
  <c r="N43" i="1"/>
  <c r="N37" i="1"/>
  <c r="N7" i="1"/>
  <c r="N16" i="1"/>
  <c r="N44" i="1"/>
  <c r="N11" i="1"/>
  <c r="N60" i="1"/>
  <c r="N46" i="1"/>
  <c r="N40" i="1"/>
  <c r="N23" i="1"/>
  <c r="N32" i="1"/>
  <c r="N65" i="1"/>
  <c r="N19" i="1"/>
  <c r="N10" i="1"/>
  <c r="N29" i="1"/>
  <c r="N58" i="1"/>
  <c r="N14" i="1"/>
  <c r="N26" i="1"/>
  <c r="N52" i="1"/>
  <c r="N56" i="1"/>
  <c r="N42" i="1"/>
  <c r="N24" i="1"/>
  <c r="N12" i="1"/>
  <c r="N49" i="1"/>
  <c r="N47" i="1"/>
  <c r="N27" i="1"/>
  <c r="N67" i="1"/>
  <c r="N48" i="1"/>
  <c r="N39" i="1"/>
  <c r="N61" i="1"/>
  <c r="N50" i="1"/>
  <c r="N41" i="1"/>
  <c r="N66" i="1"/>
  <c r="N33" i="1"/>
  <c r="N2" i="1"/>
  <c r="N21" i="1"/>
  <c r="N5" i="1"/>
  <c r="N20" i="1"/>
  <c r="N64" i="1"/>
  <c r="N63" i="1"/>
  <c r="N51" i="1"/>
  <c r="N17" i="1"/>
  <c r="N30" i="1"/>
  <c r="N69" i="1"/>
  <c r="N55" i="1"/>
  <c r="N53" i="1"/>
  <c r="N4" i="1"/>
  <c r="N6" i="1"/>
  <c r="N25" i="1"/>
  <c r="N9" i="1"/>
  <c r="N15" i="1"/>
  <c r="N8" i="1"/>
  <c r="N22" i="1"/>
  <c r="N68" i="1"/>
  <c r="N71" i="1"/>
  <c r="N45" i="1"/>
  <c r="N18" i="1"/>
  <c r="N59" i="1"/>
  <c r="N34" i="1"/>
  <c r="N35" i="1"/>
  <c r="N31" i="1"/>
  <c r="J70" i="1"/>
  <c r="J28" i="1"/>
  <c r="J3" i="1"/>
  <c r="J54" i="1"/>
  <c r="J38" i="1"/>
  <c r="J13" i="1"/>
  <c r="J36" i="1"/>
  <c r="J57" i="1"/>
  <c r="J62" i="1"/>
  <c r="J43" i="1"/>
  <c r="J37" i="1"/>
  <c r="J7" i="1"/>
  <c r="J16" i="1"/>
  <c r="J44" i="1"/>
  <c r="J11" i="1"/>
  <c r="J60" i="1"/>
  <c r="J46" i="1"/>
  <c r="J40" i="1"/>
  <c r="J23" i="1"/>
  <c r="J32" i="1"/>
  <c r="J65" i="1"/>
  <c r="J19" i="1"/>
  <c r="J10" i="1"/>
  <c r="J29" i="1"/>
  <c r="J58" i="1"/>
  <c r="J14" i="1"/>
  <c r="J26" i="1"/>
  <c r="J52" i="1"/>
  <c r="J56" i="1"/>
  <c r="J42" i="1"/>
  <c r="J24" i="1"/>
  <c r="J12" i="1"/>
  <c r="J49" i="1"/>
  <c r="J47" i="1"/>
  <c r="J27" i="1"/>
  <c r="J67" i="1"/>
  <c r="J48" i="1"/>
  <c r="J39" i="1"/>
  <c r="J61" i="1"/>
  <c r="J50" i="1"/>
  <c r="J41" i="1"/>
  <c r="J66" i="1"/>
  <c r="J33" i="1"/>
  <c r="J2" i="1"/>
  <c r="J21" i="1"/>
  <c r="J5" i="1"/>
  <c r="J20" i="1"/>
  <c r="J64" i="1"/>
  <c r="J63" i="1"/>
  <c r="J51" i="1"/>
  <c r="J17" i="1"/>
  <c r="J30" i="1"/>
  <c r="J69" i="1"/>
  <c r="J55" i="1"/>
  <c r="J53" i="1"/>
  <c r="J4" i="1"/>
  <c r="J6" i="1"/>
  <c r="J25" i="1"/>
  <c r="J9" i="1"/>
  <c r="J15" i="1"/>
  <c r="J8" i="1"/>
  <c r="J22" i="1"/>
  <c r="J68" i="1"/>
  <c r="J71" i="1"/>
  <c r="J45" i="1"/>
  <c r="J18" i="1"/>
  <c r="J59" i="1"/>
  <c r="J34" i="1"/>
  <c r="J35" i="1"/>
  <c r="J31" i="1"/>
  <c r="N24" i="6" l="1"/>
</calcChain>
</file>

<file path=xl/sharedStrings.xml><?xml version="1.0" encoding="utf-8"?>
<sst xmlns="http://schemas.openxmlformats.org/spreadsheetml/2006/main" count="684" uniqueCount="243">
  <si>
    <t>Car ID</t>
  </si>
  <si>
    <t>Make</t>
  </si>
  <si>
    <t>Make Full Name</t>
  </si>
  <si>
    <t>Model</t>
  </si>
  <si>
    <t>Full Name of Model</t>
  </si>
  <si>
    <t>Manufacture Year</t>
  </si>
  <si>
    <t>Age</t>
  </si>
  <si>
    <t>Miles</t>
  </si>
  <si>
    <t>Miles Per Year</t>
  </si>
  <si>
    <t>Color</t>
  </si>
  <si>
    <t>Driver</t>
  </si>
  <si>
    <t>Warranty Miles Covered</t>
  </si>
  <si>
    <t>CAR10001</t>
  </si>
  <si>
    <t>Mercedes-Benz</t>
  </si>
  <si>
    <t>Mercedes-Benz Group AG</t>
  </si>
  <si>
    <t>C-Class</t>
  </si>
  <si>
    <t>Mercedes-Benz C-Class</t>
  </si>
  <si>
    <t>Red</t>
  </si>
  <si>
    <t>Sneha Sinha</t>
  </si>
  <si>
    <t>CAR10002</t>
  </si>
  <si>
    <t>Ford</t>
  </si>
  <si>
    <t>Ford Motor Company</t>
  </si>
  <si>
    <t>Focus</t>
  </si>
  <si>
    <t>Ford Focus</t>
  </si>
  <si>
    <t>Black</t>
  </si>
  <si>
    <t>Arjun Patel</t>
  </si>
  <si>
    <t>CAR10003</t>
  </si>
  <si>
    <t>Mahindra</t>
  </si>
  <si>
    <t>Mahindra &amp; Mahindra Ltd.</t>
  </si>
  <si>
    <t>Thar</t>
  </si>
  <si>
    <t>Mahindra Thar</t>
  </si>
  <si>
    <t>Saurabh Thakur</t>
  </si>
  <si>
    <t>CAR10004</t>
  </si>
  <si>
    <t>BMW</t>
  </si>
  <si>
    <t>Bayerische Motoren Werke AG</t>
  </si>
  <si>
    <t>3 Series</t>
  </si>
  <si>
    <t>BMW 3 Series</t>
  </si>
  <si>
    <t>Brown</t>
  </si>
  <si>
    <t>CAR10005</t>
  </si>
  <si>
    <t>Kia</t>
  </si>
  <si>
    <t>Kia Corporation</t>
  </si>
  <si>
    <t>Seltos</t>
  </si>
  <si>
    <t>Kia Seltos</t>
  </si>
  <si>
    <t>Silver</t>
  </si>
  <si>
    <t>Simran Kaur</t>
  </si>
  <si>
    <t>CAR10006</t>
  </si>
  <si>
    <t>Tata</t>
  </si>
  <si>
    <t>Tata Motors Limited</t>
  </si>
  <si>
    <t>Nexon</t>
  </si>
  <si>
    <t>Tata Nexon</t>
  </si>
  <si>
    <t>Rohan Singh</t>
  </si>
  <si>
    <t>CAR10007</t>
  </si>
  <si>
    <t>Blue</t>
  </si>
  <si>
    <t>Priya Verma</t>
  </si>
  <si>
    <t>CAR10008</t>
  </si>
  <si>
    <t>Audi</t>
  </si>
  <si>
    <t>Audi AG</t>
  </si>
  <si>
    <t>A4</t>
  </si>
  <si>
    <t>Audi A4</t>
  </si>
  <si>
    <t>Meera Nair</t>
  </si>
  <si>
    <t>CAR10009</t>
  </si>
  <si>
    <t>Maruti</t>
  </si>
  <si>
    <t>Maruti Suzuki India Limited</t>
  </si>
  <si>
    <t>Swift</t>
  </si>
  <si>
    <t>Maruti Suzuki Swift</t>
  </si>
  <si>
    <t>CAR10010</t>
  </si>
  <si>
    <t>Toyota</t>
  </si>
  <si>
    <t>Toyota Motor Corporation</t>
  </si>
  <si>
    <t>Camry</t>
  </si>
  <si>
    <t>Toyota Camry</t>
  </si>
  <si>
    <t>CAR10011</t>
  </si>
  <si>
    <t>Honda</t>
  </si>
  <si>
    <t>Honda Motor Co., Ltd.</t>
  </si>
  <si>
    <t>Civic</t>
  </si>
  <si>
    <t>Honda Civic</t>
  </si>
  <si>
    <t>Grey</t>
  </si>
  <si>
    <t>Neha Mehta</t>
  </si>
  <si>
    <t>CAR10012</t>
  </si>
  <si>
    <t>Ishita Roy</t>
  </si>
  <si>
    <t>CAR10013</t>
  </si>
  <si>
    <t>Nikhil Jain</t>
  </si>
  <si>
    <t>CAR10014</t>
  </si>
  <si>
    <t>Manish Das</t>
  </si>
  <si>
    <t>CAR10015</t>
  </si>
  <si>
    <t>Rahul Mishra</t>
  </si>
  <si>
    <t>CAR10016</t>
  </si>
  <si>
    <t>Riya Agarwal</t>
  </si>
  <si>
    <t>CAR10017</t>
  </si>
  <si>
    <t>CAR10018</t>
  </si>
  <si>
    <t>CAR10019</t>
  </si>
  <si>
    <t>Green</t>
  </si>
  <si>
    <t>CAR10020</t>
  </si>
  <si>
    <t>CAR10021</t>
  </si>
  <si>
    <t>CAR10022</t>
  </si>
  <si>
    <t>CAR10023</t>
  </si>
  <si>
    <t>White</t>
  </si>
  <si>
    <t>CAR10024</t>
  </si>
  <si>
    <t>Volkswagen</t>
  </si>
  <si>
    <t>Volkswagen AG</t>
  </si>
  <si>
    <t>Polo</t>
  </si>
  <si>
    <t>Volkswagen Polo</t>
  </si>
  <si>
    <t>CAR10025</t>
  </si>
  <si>
    <t>CAR10026</t>
  </si>
  <si>
    <t>CAR10027</t>
  </si>
  <si>
    <t>CAR10028</t>
  </si>
  <si>
    <t>CAR10029</t>
  </si>
  <si>
    <t>Kavya Patel</t>
  </si>
  <si>
    <t>CAR10030</t>
  </si>
  <si>
    <t>Ananya Gupta</t>
  </si>
  <si>
    <t>CAR10031</t>
  </si>
  <si>
    <t>Hyundai</t>
  </si>
  <si>
    <t>Hyundai Motor Company</t>
  </si>
  <si>
    <t>Elantra</t>
  </si>
  <si>
    <t>Hyundai Elantra</t>
  </si>
  <si>
    <t>CAR10032</t>
  </si>
  <si>
    <t>CAR10033</t>
  </si>
  <si>
    <t>CAR10034</t>
  </si>
  <si>
    <t>CAR10035</t>
  </si>
  <si>
    <t>Pooja Singh</t>
  </si>
  <si>
    <t>CAR10036</t>
  </si>
  <si>
    <t>CAR10037</t>
  </si>
  <si>
    <t>Aditya Roy</t>
  </si>
  <si>
    <t>CAR10038</t>
  </si>
  <si>
    <t>CAR10039</t>
  </si>
  <si>
    <t>CAR10040</t>
  </si>
  <si>
    <t>CAR10041</t>
  </si>
  <si>
    <t>Karan Shah</t>
  </si>
  <si>
    <t>CAR10042</t>
  </si>
  <si>
    <t>CAR10043</t>
  </si>
  <si>
    <t>Vikram Kumar</t>
  </si>
  <si>
    <t>CAR10044</t>
  </si>
  <si>
    <t>CAR10045</t>
  </si>
  <si>
    <t>CAR10046</t>
  </si>
  <si>
    <t>CAR10047</t>
  </si>
  <si>
    <t>CAR10048</t>
  </si>
  <si>
    <t>CAR10049</t>
  </si>
  <si>
    <t>CAR10050</t>
  </si>
  <si>
    <t>Aarav Sharma</t>
  </si>
  <si>
    <t>CAR10051</t>
  </si>
  <si>
    <t>CAR10052</t>
  </si>
  <si>
    <t>CAR10053</t>
  </si>
  <si>
    <t>CAR10054</t>
  </si>
  <si>
    <t>CAR10055</t>
  </si>
  <si>
    <t>CAR10056</t>
  </si>
  <si>
    <t>CAR10057</t>
  </si>
  <si>
    <t>CAR10058</t>
  </si>
  <si>
    <t>CAR10059</t>
  </si>
  <si>
    <t>CAR10060</t>
  </si>
  <si>
    <t>CAR10061</t>
  </si>
  <si>
    <t>CAR10062</t>
  </si>
  <si>
    <t>CAR10063</t>
  </si>
  <si>
    <t>CAR10064</t>
  </si>
  <si>
    <t>CAR10065</t>
  </si>
  <si>
    <t>CAR10066</t>
  </si>
  <si>
    <t>CAR10067</t>
  </si>
  <si>
    <t>CAR10068</t>
  </si>
  <si>
    <t>CAR10069</t>
  </si>
  <si>
    <t>CAR10070</t>
  </si>
  <si>
    <t>Covered?</t>
  </si>
  <si>
    <t>AUD</t>
  </si>
  <si>
    <t>FOR</t>
  </si>
  <si>
    <t>HON</t>
  </si>
  <si>
    <t>HYU</t>
  </si>
  <si>
    <t>KIA</t>
  </si>
  <si>
    <t>MHA</t>
  </si>
  <si>
    <t>MAR</t>
  </si>
  <si>
    <t>MER</t>
  </si>
  <si>
    <t>TAT</t>
  </si>
  <si>
    <t>TOY</t>
  </si>
  <si>
    <t>VW</t>
  </si>
  <si>
    <t>Short Name</t>
  </si>
  <si>
    <t>New car Id</t>
  </si>
  <si>
    <t>Row Labels</t>
  </si>
  <si>
    <t>Grand Total</t>
  </si>
  <si>
    <t>Sum of Miles</t>
  </si>
  <si>
    <t>Loan A</t>
  </si>
  <si>
    <t>Loan B</t>
  </si>
  <si>
    <t>Loan C</t>
  </si>
  <si>
    <t xml:space="preserve">Principle </t>
  </si>
  <si>
    <t>Interest Rate</t>
  </si>
  <si>
    <t>Months</t>
  </si>
  <si>
    <t>Interest Paid</t>
  </si>
  <si>
    <t>Total Loan Paid</t>
  </si>
  <si>
    <t>Monthly payments</t>
  </si>
  <si>
    <t>Items</t>
  </si>
  <si>
    <t>Ball Pen</t>
  </si>
  <si>
    <t>Marker</t>
  </si>
  <si>
    <t>Cryons</t>
  </si>
  <si>
    <t>Eraser</t>
  </si>
  <si>
    <t>Geometry Box</t>
  </si>
  <si>
    <t>Pencil</t>
  </si>
  <si>
    <t>100 page notebook</t>
  </si>
  <si>
    <t>Glue</t>
  </si>
  <si>
    <t>Staple</t>
  </si>
  <si>
    <t>World Map</t>
  </si>
  <si>
    <t>50 A4 Sheets</t>
  </si>
  <si>
    <t>Metro Stationary</t>
  </si>
  <si>
    <t>Rajnish Shop</t>
  </si>
  <si>
    <t>Chaht Store</t>
  </si>
  <si>
    <t>Kritika</t>
  </si>
  <si>
    <t>Total</t>
  </si>
  <si>
    <t>Anku</t>
  </si>
  <si>
    <t>Initial</t>
  </si>
  <si>
    <t>Purchase</t>
  </si>
  <si>
    <t>Collar</t>
  </si>
  <si>
    <t>Leash</t>
  </si>
  <si>
    <t>Tag</t>
  </si>
  <si>
    <t>Bowl</t>
  </si>
  <si>
    <t>Initial Total</t>
  </si>
  <si>
    <t>Monthly</t>
  </si>
  <si>
    <t>Treats</t>
  </si>
  <si>
    <t>Food</t>
  </si>
  <si>
    <t>Litters</t>
  </si>
  <si>
    <t>Subtotal</t>
  </si>
  <si>
    <t>Monthly Total</t>
  </si>
  <si>
    <t>Dog</t>
  </si>
  <si>
    <t>Cat</t>
  </si>
  <si>
    <t>One Year cost</t>
  </si>
  <si>
    <t>Delhi</t>
  </si>
  <si>
    <t>Agra</t>
  </si>
  <si>
    <t>Jaipur</t>
  </si>
  <si>
    <t>Goa</t>
  </si>
  <si>
    <t>Kerala</t>
  </si>
  <si>
    <t>Museum</t>
  </si>
  <si>
    <t>Entertainment</t>
  </si>
  <si>
    <t>Expense</t>
  </si>
  <si>
    <t>Per Person Expenses</t>
  </si>
  <si>
    <t>Air/Train Fare</t>
  </si>
  <si>
    <t>Historical/Heritage Site</t>
  </si>
  <si>
    <t>Science/Other Attraction</t>
  </si>
  <si>
    <t>Water/Adventure Activity</t>
  </si>
  <si>
    <t>Local Sightseeing</t>
  </si>
  <si>
    <t>Special Activity</t>
  </si>
  <si>
    <t>Cruise/Boat Ride</t>
  </si>
  <si>
    <t>Subtotal of Tickets (per person)</t>
  </si>
  <si>
    <t>Number of People in Group</t>
  </si>
  <si>
    <t>Total Costs of Tickets</t>
  </si>
  <si>
    <t>Hotel Expenses</t>
  </si>
  <si>
    <t>Hotel Cost per Night</t>
  </si>
  <si>
    <t>Number of Nights</t>
  </si>
  <si>
    <t>Hotel Total</t>
  </si>
  <si>
    <t>Car rentel(per day)</t>
  </si>
  <si>
    <t>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</si>
</sst>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[$₹-4009]\ * #,##0.00_ ;_ [$₹-4009]\ * \-#,##0.00_ ;_ [$₹-4009]\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/>
    <xf numFmtId="0" fontId="19" fillId="0" borderId="0" xfId="0" applyFont="1" applyAlignment="1">
      <alignment wrapText="1"/>
    </xf>
    <xf numFmtId="0" fontId="19" fillId="0" borderId="0" xfId="0" applyFont="1"/>
    <xf numFmtId="43" fontId="19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4" fontId="0" fillId="0" borderId="0" xfId="2" applyFont="1"/>
    <xf numFmtId="9" fontId="0" fillId="0" borderId="0" xfId="0" applyNumberFormat="1"/>
    <xf numFmtId="44" fontId="0" fillId="0" borderId="0" xfId="0" applyNumberFormat="1"/>
    <xf numFmtId="0" fontId="20" fillId="0" borderId="0" xfId="0" applyFont="1"/>
    <xf numFmtId="44" fontId="20" fillId="0" borderId="0" xfId="2" applyFont="1"/>
    <xf numFmtId="44" fontId="20" fillId="0" borderId="0" xfId="0" applyNumberFormat="1" applyFont="1"/>
    <xf numFmtId="0" fontId="20" fillId="33" borderId="0" xfId="0" applyFont="1" applyFill="1"/>
    <xf numFmtId="44" fontId="20" fillId="33" borderId="0" xfId="0" applyNumberFormat="1" applyFont="1" applyFill="1"/>
    <xf numFmtId="0" fontId="20" fillId="34" borderId="0" xfId="0" applyFont="1" applyFill="1"/>
    <xf numFmtId="44" fontId="20" fillId="34" borderId="0" xfId="2" applyFont="1" applyFill="1"/>
    <xf numFmtId="0" fontId="20" fillId="35" borderId="0" xfId="0" applyFont="1" applyFill="1"/>
    <xf numFmtId="44" fontId="20" fillId="35" borderId="0" xfId="2" applyFont="1" applyFill="1"/>
    <xf numFmtId="0" fontId="20" fillId="36" borderId="0" xfId="0" applyFont="1" applyFill="1"/>
    <xf numFmtId="164" fontId="20" fillId="0" borderId="0" xfId="0" applyNumberFormat="1" applyFont="1"/>
    <xf numFmtId="0" fontId="21" fillId="33" borderId="0" xfId="0" applyFont="1" applyFill="1"/>
    <xf numFmtId="164" fontId="20" fillId="33" borderId="0" xfId="0" applyNumberFormat="1" applyFont="1" applyFill="1"/>
    <xf numFmtId="0" fontId="21" fillId="37" borderId="0" xfId="0" applyFont="1" applyFill="1"/>
    <xf numFmtId="164" fontId="20" fillId="37" borderId="0" xfId="0" applyNumberFormat="1" applyFont="1" applyFill="1"/>
    <xf numFmtId="0" fontId="20" fillId="37" borderId="0" xfId="0" applyFont="1" applyFill="1"/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44" fontId="20" fillId="0" borderId="0" xfId="2" applyFont="1" applyAlignment="1">
      <alignment vertical="center" wrapText="1"/>
    </xf>
    <xf numFmtId="44" fontId="22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38" borderId="0" xfId="0" applyFont="1" applyFill="1" applyAlignment="1">
      <alignment vertical="center" wrapText="1"/>
    </xf>
    <xf numFmtId="44" fontId="22" fillId="38" borderId="0" xfId="0" applyNumberFormat="1" applyFont="1" applyFill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[Assignment1.0.xlsx]Pivot Table!PivotTable2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Table'!$A$4:$A$24</c:f>
              <c:strCache>
                <c:ptCount val="20"/>
                <c:pt idx="0">
                  <c:v>Aarav Sharma</c:v>
                </c:pt>
                <c:pt idx="1">
                  <c:v>Aditya Roy</c:v>
                </c:pt>
                <c:pt idx="2">
                  <c:v>Ananya Gupta</c:v>
                </c:pt>
                <c:pt idx="3">
                  <c:v>Arjun Patel</c:v>
                </c:pt>
                <c:pt idx="4">
                  <c:v>Ishita Roy</c:v>
                </c:pt>
                <c:pt idx="5">
                  <c:v>Karan Shah</c:v>
                </c:pt>
                <c:pt idx="6">
                  <c:v>Kavya Patel</c:v>
                </c:pt>
                <c:pt idx="7">
                  <c:v>Manish Das</c:v>
                </c:pt>
                <c:pt idx="8">
                  <c:v>Meera Nair</c:v>
                </c:pt>
                <c:pt idx="9">
                  <c:v>Neha Mehta</c:v>
                </c:pt>
                <c:pt idx="10">
                  <c:v>Nikhil Jain</c:v>
                </c:pt>
                <c:pt idx="11">
                  <c:v>Pooja Singh</c:v>
                </c:pt>
                <c:pt idx="12">
                  <c:v>Priya Verma</c:v>
                </c:pt>
                <c:pt idx="13">
                  <c:v>Rahul Mishra</c:v>
                </c:pt>
                <c:pt idx="14">
                  <c:v>Riya Agarwal</c:v>
                </c:pt>
                <c:pt idx="15">
                  <c:v>Rohan Singh</c:v>
                </c:pt>
                <c:pt idx="16">
                  <c:v>Saurabh Thakur</c:v>
                </c:pt>
                <c:pt idx="17">
                  <c:v>Simran Kaur</c:v>
                </c:pt>
                <c:pt idx="18">
                  <c:v>Sneha Sinha</c:v>
                </c:pt>
                <c:pt idx="19">
                  <c:v>Vikram Kumar</c:v>
                </c:pt>
              </c:strCache>
            </c:strRef>
          </c:cat>
          <c:val>
            <c:numRef>
              <c:f>'Pivot Table'!$B$4:$B$24</c:f>
              <c:numCache>
                <c:formatCode>_(* #,##0.00_);_(* \(#,##0.00\);_(* "-"??_);_(@_)</c:formatCode>
                <c:ptCount val="20"/>
                <c:pt idx="0">
                  <c:v>417573</c:v>
                </c:pt>
                <c:pt idx="1">
                  <c:v>160204</c:v>
                </c:pt>
                <c:pt idx="2">
                  <c:v>135003</c:v>
                </c:pt>
                <c:pt idx="3">
                  <c:v>147904</c:v>
                </c:pt>
                <c:pt idx="4">
                  <c:v>676107</c:v>
                </c:pt>
                <c:pt idx="5">
                  <c:v>53295</c:v>
                </c:pt>
                <c:pt idx="6">
                  <c:v>164774</c:v>
                </c:pt>
                <c:pt idx="7">
                  <c:v>283275</c:v>
                </c:pt>
                <c:pt idx="8">
                  <c:v>413128</c:v>
                </c:pt>
                <c:pt idx="9">
                  <c:v>70038</c:v>
                </c:pt>
                <c:pt idx="10">
                  <c:v>158483</c:v>
                </c:pt>
                <c:pt idx="11">
                  <c:v>58486</c:v>
                </c:pt>
                <c:pt idx="12">
                  <c:v>504013</c:v>
                </c:pt>
                <c:pt idx="13">
                  <c:v>759078</c:v>
                </c:pt>
                <c:pt idx="14">
                  <c:v>148009</c:v>
                </c:pt>
                <c:pt idx="15">
                  <c:v>324951</c:v>
                </c:pt>
                <c:pt idx="16">
                  <c:v>281655</c:v>
                </c:pt>
                <c:pt idx="17">
                  <c:v>294381</c:v>
                </c:pt>
                <c:pt idx="18">
                  <c:v>632224</c:v>
                </c:pt>
                <c:pt idx="19">
                  <c:v>140489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4-469E-B6F2-E1A4073BC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286528"/>
        <c:axId val="259497744"/>
      </c:barChart>
      <c:catAx>
        <c:axId val="50728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97744"/>
        <c:crosses val="autoZero"/>
        <c:auto val="1"/>
        <c:lblAlgn val="ctr"/>
        <c:lblOffset val="100"/>
        <c:noMultiLvlLbl val="0"/>
      </c:catAx>
      <c:valAx>
        <c:axId val="25949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28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payments of 1lakh loan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Loan!$G$1</c:f>
              <c:strCache>
                <c:ptCount val="1"/>
                <c:pt idx="0">
                  <c:v>Monthly payments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Loan!$C$2:$C$4</c:f>
              <c:numCache>
                <c:formatCode>0%</c:formatCode>
                <c:ptCount val="3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</c:numCache>
            </c:numRef>
          </c:cat>
          <c:val>
            <c:numRef>
              <c:f>Loan!$G$2:$G$4</c:f>
              <c:numCache>
                <c:formatCode>_("₹"* #,##0.00_);_("₹"* \(#,##0.00\);_("₹"* "-"??_);_(@_)</c:formatCode>
                <c:ptCount val="3"/>
                <c:pt idx="0">
                  <c:v>9000</c:v>
                </c:pt>
                <c:pt idx="1">
                  <c:v>9083.3333333333339</c:v>
                </c:pt>
                <c:pt idx="2">
                  <c:v>9166.6666666666661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4-4BD3-9260-0C0F01FCB88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057376"/>
        <c:axId val="259525104"/>
      </c:barChart>
      <c:catAx>
        <c:axId val="56705737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25104"/>
        <c:crosses val="autoZero"/>
        <c:auto val="1"/>
        <c:lblAlgn val="ctr"/>
        <c:lblOffset val="100"/>
        <c:noMultiLvlLbl val="0"/>
      </c:catAx>
      <c:valAx>
        <c:axId val="2595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  <a:r>
              <a:rPr lang="en-IN" baseline="0"/>
              <a:t> of three stores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SchoolShopping!$H$15:$J$15</c:f>
              <c:strCache>
                <c:ptCount val="3"/>
                <c:pt idx="0">
                  <c:v>Metro Stationary</c:v>
                </c:pt>
                <c:pt idx="1">
                  <c:v>Rajnish Shop</c:v>
                </c:pt>
                <c:pt idx="2">
                  <c:v>Chaht Store</c:v>
                </c:pt>
              </c:strCache>
            </c:strRef>
          </c:cat>
          <c:val>
            <c:numRef>
              <c:f>SchoolShopping!$H$16:$J$16</c:f>
              <c:numCache>
                <c:formatCode>_("₹"* #,##0.00_);_("₹"* \(#,##0.00\);_("₹"* "-"??_);_(@_)</c:formatCode>
                <c:ptCount val="3"/>
                <c:pt idx="0">
                  <c:v>508</c:v>
                </c:pt>
                <c:pt idx="1">
                  <c:v>645</c:v>
                </c:pt>
                <c:pt idx="2">
                  <c:v>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4-40D6-A4F2-15390B3D6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057344"/>
        <c:axId val="259476624"/>
      </c:barChart>
      <c:catAx>
        <c:axId val="26505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6624"/>
        <c:crosses val="autoZero"/>
        <c:auto val="1"/>
        <c:lblAlgn val="ctr"/>
        <c:lblOffset val="100"/>
        <c:noMultiLvlLbl val="0"/>
      </c:catAx>
      <c:valAx>
        <c:axId val="25947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05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of three store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6388888888888895E-2"/>
          <c:y val="0.19689632545931759"/>
          <c:w val="0.81388888888888888"/>
          <c:h val="0.57479476523767858"/>
        </c:manualLayout>
      </c:layout>
      <c:pie3DChart>
        <c:varyColors val="1"/>
        <c:ser>
          <c:idx val="0"/>
          <c:order val="0"/>
          <c:tx>
            <c:strRef>
              <c:f>SchoolShopping!$N$16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SchoolShopping!$O$15:$Q$15</c:f>
              <c:strCache>
                <c:ptCount val="3"/>
                <c:pt idx="0">
                  <c:v>Metro Stationary</c:v>
                </c:pt>
                <c:pt idx="1">
                  <c:v>Rajnish Shop</c:v>
                </c:pt>
                <c:pt idx="2">
                  <c:v>Chaht Store</c:v>
                </c:pt>
              </c:strCache>
            </c:strRef>
          </c:cat>
          <c:val>
            <c:numRef>
              <c:f>SchoolShopping!$O$16:$Q$16</c:f>
              <c:numCache>
                <c:formatCode>_("₹"* #,##0.00_);_("₹"* \(#,##0.00\);_("₹"* "-"??_);_(@_)</c:formatCode>
                <c:ptCount val="3"/>
                <c:pt idx="0">
                  <c:v>399</c:v>
                </c:pt>
                <c:pt idx="1">
                  <c:v>500</c:v>
                </c:pt>
                <c:pt idx="2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3-46F0-8682-D19C933769B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</a:t>
            </a:r>
            <a:r>
              <a:rPr lang="en-IN" baseline="0"/>
              <a:t> of pet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petExpense!$B$18:$C$18</c:f>
              <c:strCache>
                <c:ptCount val="2"/>
                <c:pt idx="0">
                  <c:v>Dog</c:v>
                </c:pt>
                <c:pt idx="1">
                  <c:v>Cat</c:v>
                </c:pt>
              </c:strCache>
            </c:strRef>
          </c:cat>
          <c:val>
            <c:numRef>
              <c:f>petExpense!$B$19:$C$19</c:f>
              <c:numCache>
                <c:formatCode>_ [$₹-4009]\ * #,##0.00_ ;_ [$₹-4009]\ * \-#,##0.00_ ;_ [$₹-4009]\ * "-"??_ ;_ @_ </c:formatCode>
                <c:ptCount val="2"/>
                <c:pt idx="0">
                  <c:v>42300</c:v>
                </c:pt>
                <c:pt idx="1">
                  <c:v>35200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B-4060-996D-D05C1E96D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377248"/>
        <c:axId val="259510704"/>
      </c:barChart>
      <c:catAx>
        <c:axId val="56137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10704"/>
        <c:crosses val="autoZero"/>
        <c:auto val="1"/>
        <c:lblAlgn val="ctr"/>
        <c:lblOffset val="100"/>
        <c:noMultiLvlLbl val="0"/>
      </c:catAx>
      <c:valAx>
        <c:axId val="25951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37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Vacation</a:t>
            </a:r>
            <a:r>
              <a:rPr lang="en-IN" baseline="0"/>
              <a:t> expense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VacationSuggestion!$B$23:$F$23</c:f>
              <c:strCache>
                <c:ptCount val="5"/>
                <c:pt idx="0">
                  <c:v>Delhi</c:v>
                </c:pt>
                <c:pt idx="1">
                  <c:v>Agra</c:v>
                </c:pt>
                <c:pt idx="2">
                  <c:v>Jaipur</c:v>
                </c:pt>
                <c:pt idx="3">
                  <c:v>Goa</c:v>
                </c:pt>
                <c:pt idx="4">
                  <c:v>Kerala</c:v>
                </c:pt>
              </c:strCache>
            </c:strRef>
          </c:cat>
          <c:val>
            <c:numRef>
              <c:f>VacationSuggestion!$B$24:$F$24</c:f>
              <c:numCache>
                <c:formatCode>_("₹"* #,##0.00_);_("₹"* \(#,##0.00\);_("₹"* "-"??_);_(@_)</c:formatCode>
                <c:ptCount val="5"/>
                <c:pt idx="0">
                  <c:v>34900</c:v>
                </c:pt>
                <c:pt idx="1">
                  <c:v>25800</c:v>
                </c:pt>
                <c:pt idx="2">
                  <c:v>28400</c:v>
                </c:pt>
                <c:pt idx="3">
                  <c:v>47500</c:v>
                </c:pt>
                <c:pt idx="4">
                  <c:v>45400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9-4006-AEE0-A0CA5968D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541776"/>
        <c:axId val="259492944"/>
      </c:barChart>
      <c:catAx>
        <c:axId val="33554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92944"/>
        <c:crosses val="autoZero"/>
        <c:auto val="1"/>
        <c:lblAlgn val="ctr"/>
        <c:lblOffset val="100"/>
        <c:noMultiLvlLbl val="0"/>
      </c:catAx>
      <c:valAx>
        <c:axId val="25949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4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VacationSuggestion!$J$23:$N$23</c:f>
              <c:strCache>
                <c:ptCount val="5"/>
                <c:pt idx="0">
                  <c:v>Delhi</c:v>
                </c:pt>
                <c:pt idx="1">
                  <c:v>Agra</c:v>
                </c:pt>
                <c:pt idx="2">
                  <c:v>Jaipur</c:v>
                </c:pt>
                <c:pt idx="3">
                  <c:v>Goa</c:v>
                </c:pt>
                <c:pt idx="4">
                  <c:v>Kerala</c:v>
                </c:pt>
              </c:strCache>
            </c:strRef>
          </c:cat>
          <c:val>
            <c:numRef>
              <c:f>VacationSuggestion!$J$24:$N$24</c:f>
              <c:numCache>
                <c:formatCode>_("₹"* #,##0.00_);_("₹"* \(#,##0.00\);_("₹"* "-"??_);_(@_)</c:formatCode>
                <c:ptCount val="5"/>
                <c:pt idx="0">
                  <c:v>49800</c:v>
                </c:pt>
                <c:pt idx="1">
                  <c:v>35100</c:v>
                </c:pt>
                <c:pt idx="2">
                  <c:v>40800</c:v>
                </c:pt>
                <c:pt idx="3">
                  <c:v>72000</c:v>
                </c:pt>
                <c:pt idx="4">
                  <c:v>69300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3-46A7-993C-C268E6608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055984"/>
        <c:axId val="449004624"/>
      </c:barChart>
      <c:catAx>
        <c:axId val="56705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04624"/>
        <c:crosses val="autoZero"/>
        <c:auto val="1"/>
        <c:lblAlgn val="ctr"/>
        <c:lblOffset val="100"/>
        <c:noMultiLvlLbl val="0"/>
      </c:catAx>
      <c:valAx>
        <c:axId val="44900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car_database_raw!$I$1</c:f>
              <c:strCache>
                <c:ptCount val="1"/>
                <c:pt idx="0">
                  <c:v>Miles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car_database_raw!$H$2:$H$71</c:f>
              <c:numCache>
                <c:formatCode>General</c:formatCode>
                <c:ptCount val="70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12</c:v>
                </c:pt>
                <c:pt idx="8">
                  <c:v>10</c:v>
                </c:pt>
                <c:pt idx="9">
                  <c:v>9</c:v>
                </c:pt>
                <c:pt idx="10">
                  <c:v>12</c:v>
                </c:pt>
                <c:pt idx="11">
                  <c:v>11</c:v>
                </c:pt>
                <c:pt idx="12">
                  <c:v>9</c:v>
                </c:pt>
                <c:pt idx="13">
                  <c:v>12</c:v>
                </c:pt>
                <c:pt idx="14">
                  <c:v>8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6</c:v>
                </c:pt>
                <c:pt idx="19">
                  <c:v>11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6</c:v>
                </c:pt>
                <c:pt idx="24">
                  <c:v>10</c:v>
                </c:pt>
                <c:pt idx="25">
                  <c:v>6</c:v>
                </c:pt>
                <c:pt idx="26">
                  <c:v>12</c:v>
                </c:pt>
                <c:pt idx="27">
                  <c:v>9</c:v>
                </c:pt>
                <c:pt idx="28">
                  <c:v>5</c:v>
                </c:pt>
                <c:pt idx="29">
                  <c:v>11</c:v>
                </c:pt>
                <c:pt idx="30">
                  <c:v>6</c:v>
                </c:pt>
                <c:pt idx="31">
                  <c:v>8</c:v>
                </c:pt>
                <c:pt idx="32">
                  <c:v>8</c:v>
                </c:pt>
                <c:pt idx="33">
                  <c:v>6</c:v>
                </c:pt>
                <c:pt idx="34">
                  <c:v>5</c:v>
                </c:pt>
                <c:pt idx="35">
                  <c:v>7</c:v>
                </c:pt>
                <c:pt idx="36">
                  <c:v>8</c:v>
                </c:pt>
                <c:pt idx="37">
                  <c:v>9</c:v>
                </c:pt>
                <c:pt idx="38">
                  <c:v>7</c:v>
                </c:pt>
                <c:pt idx="39">
                  <c:v>6</c:v>
                </c:pt>
                <c:pt idx="40">
                  <c:v>9</c:v>
                </c:pt>
                <c:pt idx="41">
                  <c:v>6</c:v>
                </c:pt>
                <c:pt idx="42">
                  <c:v>9</c:v>
                </c:pt>
                <c:pt idx="43">
                  <c:v>5</c:v>
                </c:pt>
                <c:pt idx="44">
                  <c:v>4</c:v>
                </c:pt>
                <c:pt idx="45">
                  <c:v>6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2</c:v>
                </c:pt>
                <c:pt idx="55">
                  <c:v>2</c:v>
                </c:pt>
                <c:pt idx="56">
                  <c:v>5</c:v>
                </c:pt>
                <c:pt idx="57">
                  <c:v>2</c:v>
                </c:pt>
                <c:pt idx="58">
                  <c:v>2</c:v>
                </c:pt>
                <c:pt idx="59">
                  <c:v>4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</c:numCache>
            </c:numRef>
          </c:xVal>
          <c:yVal>
            <c:numRef>
              <c:f>car_database_raw!$I$2:$I$71</c:f>
              <c:numCache>
                <c:formatCode>_(* #,##0.00_);_(* \(#,##0.00\);_(* "-"??_);_(@_)</c:formatCode>
                <c:ptCount val="70"/>
                <c:pt idx="0">
                  <c:v>196757</c:v>
                </c:pt>
                <c:pt idx="1">
                  <c:v>189968</c:v>
                </c:pt>
                <c:pt idx="2">
                  <c:v>189281</c:v>
                </c:pt>
                <c:pt idx="3">
                  <c:v>176179</c:v>
                </c:pt>
                <c:pt idx="4">
                  <c:v>171525</c:v>
                </c:pt>
                <c:pt idx="5">
                  <c:v>158483</c:v>
                </c:pt>
                <c:pt idx="6">
                  <c:v>157685</c:v>
                </c:pt>
                <c:pt idx="7">
                  <c:v>155359</c:v>
                </c:pt>
                <c:pt idx="8">
                  <c:v>149041</c:v>
                </c:pt>
                <c:pt idx="9">
                  <c:v>148009</c:v>
                </c:pt>
                <c:pt idx="10">
                  <c:v>143536</c:v>
                </c:pt>
                <c:pt idx="11">
                  <c:v>143133</c:v>
                </c:pt>
                <c:pt idx="12">
                  <c:v>142800</c:v>
                </c:pt>
                <c:pt idx="13">
                  <c:v>141587</c:v>
                </c:pt>
                <c:pt idx="14">
                  <c:v>141517</c:v>
                </c:pt>
                <c:pt idx="15">
                  <c:v>122743</c:v>
                </c:pt>
                <c:pt idx="16">
                  <c:v>119941</c:v>
                </c:pt>
                <c:pt idx="17">
                  <c:v>110279</c:v>
                </c:pt>
                <c:pt idx="18">
                  <c:v>108401</c:v>
                </c:pt>
                <c:pt idx="19">
                  <c:v>105545</c:v>
                </c:pt>
                <c:pt idx="20">
                  <c:v>105111</c:v>
                </c:pt>
                <c:pt idx="21">
                  <c:v>104184</c:v>
                </c:pt>
                <c:pt idx="22">
                  <c:v>97754</c:v>
                </c:pt>
                <c:pt idx="23">
                  <c:v>94213</c:v>
                </c:pt>
                <c:pt idx="24">
                  <c:v>91434</c:v>
                </c:pt>
                <c:pt idx="25">
                  <c:v>90878</c:v>
                </c:pt>
                <c:pt idx="26">
                  <c:v>84623</c:v>
                </c:pt>
                <c:pt idx="27">
                  <c:v>84099</c:v>
                </c:pt>
                <c:pt idx="28">
                  <c:v>82763</c:v>
                </c:pt>
                <c:pt idx="29">
                  <c:v>82073</c:v>
                </c:pt>
                <c:pt idx="30">
                  <c:v>81393</c:v>
                </c:pt>
                <c:pt idx="31">
                  <c:v>81007</c:v>
                </c:pt>
                <c:pt idx="32">
                  <c:v>80156</c:v>
                </c:pt>
                <c:pt idx="33">
                  <c:v>78946</c:v>
                </c:pt>
                <c:pt idx="34">
                  <c:v>77447</c:v>
                </c:pt>
                <c:pt idx="35">
                  <c:v>75014</c:v>
                </c:pt>
                <c:pt idx="36">
                  <c:v>74139</c:v>
                </c:pt>
                <c:pt idx="37">
                  <c:v>73245</c:v>
                </c:pt>
                <c:pt idx="38">
                  <c:v>71784</c:v>
                </c:pt>
                <c:pt idx="39">
                  <c:v>71493</c:v>
                </c:pt>
                <c:pt idx="40">
                  <c:v>70710</c:v>
                </c:pt>
                <c:pt idx="41">
                  <c:v>70038</c:v>
                </c:pt>
                <c:pt idx="42">
                  <c:v>69819</c:v>
                </c:pt>
                <c:pt idx="43">
                  <c:v>63640</c:v>
                </c:pt>
                <c:pt idx="44">
                  <c:v>63472</c:v>
                </c:pt>
                <c:pt idx="45">
                  <c:v>58486</c:v>
                </c:pt>
                <c:pt idx="46">
                  <c:v>56548</c:v>
                </c:pt>
                <c:pt idx="47">
                  <c:v>54467</c:v>
                </c:pt>
                <c:pt idx="48">
                  <c:v>53295</c:v>
                </c:pt>
                <c:pt idx="49">
                  <c:v>47991</c:v>
                </c:pt>
                <c:pt idx="50">
                  <c:v>42031</c:v>
                </c:pt>
                <c:pt idx="51">
                  <c:v>40769</c:v>
                </c:pt>
                <c:pt idx="52">
                  <c:v>39801</c:v>
                </c:pt>
                <c:pt idx="53">
                  <c:v>38415</c:v>
                </c:pt>
                <c:pt idx="54">
                  <c:v>37353</c:v>
                </c:pt>
                <c:pt idx="55">
                  <c:v>36228</c:v>
                </c:pt>
                <c:pt idx="56">
                  <c:v>35011</c:v>
                </c:pt>
                <c:pt idx="57">
                  <c:v>32966</c:v>
                </c:pt>
                <c:pt idx="58">
                  <c:v>29204</c:v>
                </c:pt>
                <c:pt idx="59">
                  <c:v>27728</c:v>
                </c:pt>
                <c:pt idx="60">
                  <c:v>26798</c:v>
                </c:pt>
                <c:pt idx="61">
                  <c:v>26575</c:v>
                </c:pt>
                <c:pt idx="62">
                  <c:v>25249</c:v>
                </c:pt>
                <c:pt idx="63">
                  <c:v>22336</c:v>
                </c:pt>
                <c:pt idx="64">
                  <c:v>21027</c:v>
                </c:pt>
                <c:pt idx="65">
                  <c:v>18617</c:v>
                </c:pt>
                <c:pt idx="66">
                  <c:v>18351</c:v>
                </c:pt>
                <c:pt idx="67">
                  <c:v>17494</c:v>
                </c:pt>
                <c:pt idx="68">
                  <c:v>13722</c:v>
                </c:pt>
                <c:pt idx="69">
                  <c:v>11404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5-4B67-8720-0D35C839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193312"/>
        <c:axId val="449039184"/>
      </c:scatterChart>
      <c:valAx>
        <c:axId val="45019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39184"/>
        <c:crosses val="autoZero"/>
        <c:crossBetween val="midCat"/>
      </c:valAx>
      <c:valAx>
        <c:axId val="44903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Miles</a:t>
                </a:r>
                <a:r>
                  <a:rPr lang="en-IN" baseline="0"/>
                  <a:t> Driven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9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0</xdr:rowOff>
    </xdr:from>
    <xdr:to>
      <xdr:col>12</xdr:col>
      <xdr:colOff>205740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B73B1-827C-221D-5D2E-216E27929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6</xdr:row>
      <xdr:rowOff>106680</xdr:rowOff>
    </xdr:from>
    <xdr:to>
      <xdr:col>6</xdr:col>
      <xdr:colOff>891540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B23B6-2227-0A3D-BC1E-D4E198ED7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426720</xdr:colOff>
      <xdr:row>13</xdr:row>
      <xdr:rowOff>213360</xdr:rowOff>
    </xdr:from>
    <xdr:to>
      <xdr:col>4</xdr:col>
      <xdr:colOff>594360</xdr:colOff>
      <xdr:row>26</xdr:row>
      <xdr:rowOff>213360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97344-55E2-C718-0CC1-4CF65E397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190500</xdr:colOff>
      <xdr:row>16</xdr:row>
      <xdr:rowOff>167640</xdr:rowOff>
    </xdr:from>
    <xdr:to>
      <xdr:col>17</xdr:col>
      <xdr:colOff>53340</xdr:colOff>
      <xdr:row>29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EFE8EB-7928-E020-9240-C217FA76D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</xdr:row>
      <xdr:rowOff>121920</xdr:rowOff>
    </xdr:from>
    <xdr:to>
      <xdr:col>11</xdr:col>
      <xdr:colOff>114300</xdr:colOff>
      <xdr:row>14</xdr:row>
      <xdr:rowOff>213360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8BDEE-8679-BC44-AA0B-61C365892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861060</xdr:colOff>
      <xdr:row>24</xdr:row>
      <xdr:rowOff>68580</xdr:rowOff>
    </xdr:from>
    <xdr:to>
      <xdr:col>3</xdr:col>
      <xdr:colOff>982980</xdr:colOff>
      <xdr:row>36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7C5A6B-BF0E-E868-248A-BE675F478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407096</xdr:colOff>
      <xdr:row>25</xdr:row>
      <xdr:rowOff>63674</xdr:rowOff>
    </xdr:from>
    <xdr:to>
      <xdr:col>12</xdr:col>
      <xdr:colOff>480165</xdr:colOff>
      <xdr:row>42</xdr:row>
      <xdr:rowOff>73068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E92204-E582-6378-FE51-E7AECD74C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29308</xdr:colOff>
      <xdr:row>1</xdr:row>
      <xdr:rowOff>10746</xdr:rowOff>
    </xdr:from>
    <xdr:to>
      <xdr:col>26</xdr:col>
      <xdr:colOff>400539</xdr:colOff>
      <xdr:row>20</xdr:row>
      <xdr:rowOff>175845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E3ACF3-D97A-F56F-6DC8-40742F18E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tika Raj" refreshedDate="46272.882306944448" createdVersion="8" refreshedVersion="8" minRefreshableVersion="3" recordCount="70" xr:uid="{2BA4FC6C-1610-40C7-B621-B363B4E0ACB7}">
  <cacheSource type="worksheet">
    <worksheetSource ref="A1:O71" sheet="car_database_raw"/>
  </cacheSource>
  <cacheFields count="15">
    <cacheField name="Car ID" numFmtId="0">
      <sharedItems/>
    </cacheField>
    <cacheField name="Make" numFmtId="0">
      <sharedItems/>
    </cacheField>
    <cacheField name="Short Name" numFmtId="0">
      <sharedItems/>
    </cacheField>
    <cacheField name="Make Full Name" numFmtId="0">
      <sharedItems/>
    </cacheField>
    <cacheField name="Model" numFmtId="0">
      <sharedItems/>
    </cacheField>
    <cacheField name="Full Name of Model" numFmtId="0">
      <sharedItems/>
    </cacheField>
    <cacheField name="Manufacture Year" numFmtId="0">
      <sharedItems containsSemiMixedTypes="0" containsString="0" containsNumber="1" containsInteger="1" minValue="2014" maxValue="2025"/>
    </cacheField>
    <cacheField name="Age" numFmtId="0">
      <sharedItems containsSemiMixedTypes="0" containsString="0" containsNumber="1" containsInteger="1" minValue="1" maxValue="12"/>
    </cacheField>
    <cacheField name="Miles" numFmtId="43">
      <sharedItems containsSemiMixedTypes="0" containsString="0" containsNumber="1" containsInteger="1" minValue="11404" maxValue="196757"/>
    </cacheField>
    <cacheField name="Miles Per Year" numFmtId="43">
      <sharedItems containsSemiMixedTypes="0" containsString="0" containsNumber="1" minValue="6932" maxValue="21027"/>
    </cacheField>
    <cacheField name="Color" numFmtId="0">
      <sharedItems/>
    </cacheField>
    <cacheField name="Driver" numFmtId="0">
      <sharedItems count="20">
        <s v="Priya Verma"/>
        <s v="Sneha Sinha"/>
        <s v="Aarav Sharma"/>
        <s v="Ishita Roy"/>
        <s v="Meera Nair"/>
        <s v="Nikhil Jain"/>
        <s v="Simran Kaur"/>
        <s v="Saurabh Thakur"/>
        <s v="Riya Agarwal"/>
        <s v="Rahul Mishra"/>
        <s v="Rohan Singh"/>
        <s v="Aditya Roy"/>
        <s v="Manish Das"/>
        <s v="Kavya Patel"/>
        <s v="Vikram Kumar"/>
        <s v="Ananya Gupta"/>
        <s v="Arjun Patel"/>
        <s v="Neha Mehta"/>
        <s v="Pooja Singh"/>
        <s v="Karan Shah"/>
      </sharedItems>
    </cacheField>
    <cacheField name="Warranty Miles Covered" numFmtId="43">
      <sharedItems containsSemiMixedTypes="0" containsString="0" containsNumber="1" containsInteger="1" minValue="3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CAR10001"/>
    <s v="Audi"/>
    <s v="AUD"/>
    <s v="Audi AG"/>
    <s v="Camry"/>
    <s v="Toyota Camry"/>
    <n v="2014"/>
    <n v="12"/>
    <n v="196757"/>
    <n v="16396.416666666668"/>
    <s v="Silver"/>
    <x v="0"/>
    <n v="75000"/>
    <s v="No"/>
    <s v="AUDCAMRYSIL001"/>
  </r>
  <r>
    <s v="CAR10002"/>
    <s v="Audi"/>
    <s v="AUD"/>
    <s v="Audi AG"/>
    <s v="3 Series"/>
    <s v="BMW 3 Series"/>
    <n v="2014"/>
    <n v="12"/>
    <n v="189968"/>
    <n v="15830.666666666666"/>
    <s v="Brown"/>
    <x v="1"/>
    <n v="100000"/>
    <s v="No"/>
    <s v="AUD3 SERIESBRO002"/>
  </r>
  <r>
    <s v="CAR10003"/>
    <s v="Audi"/>
    <s v="AUD"/>
    <s v="Audi AG"/>
    <s v="Camry"/>
    <s v="Toyota Camry"/>
    <n v="2015"/>
    <n v="11"/>
    <n v="189281"/>
    <n v="17207.363636363636"/>
    <s v="White"/>
    <x v="2"/>
    <n v="50000"/>
    <s v="No"/>
    <s v="AUDCAMRYWHI003"/>
  </r>
  <r>
    <s v="CAR10004"/>
    <s v="Audi"/>
    <s v="AUD"/>
    <s v="Audi AG"/>
    <s v="Thar"/>
    <s v="Mahindra Thar"/>
    <n v="2015"/>
    <n v="11"/>
    <n v="176179"/>
    <n v="16016.272727272728"/>
    <s v="White"/>
    <x v="3"/>
    <n v="75000"/>
    <s v="No"/>
    <s v="AUDTHARWHI004"/>
  </r>
  <r>
    <s v="CAR10005"/>
    <s v="Audi"/>
    <s v="AUD"/>
    <s v="Audi AG"/>
    <s v="Nexon"/>
    <s v="Tata Nexon"/>
    <n v="2016"/>
    <n v="10"/>
    <n v="171525"/>
    <n v="17152.5"/>
    <s v="Green"/>
    <x v="4"/>
    <n v="40000"/>
    <s v="No"/>
    <s v="AUDNEXONGRE005"/>
  </r>
  <r>
    <s v="CAR10006"/>
    <s v="Audi"/>
    <s v="AUD"/>
    <s v="Audi AG"/>
    <s v="C-Class"/>
    <s v="Mercedes-Benz C-Class"/>
    <n v="2016"/>
    <n v="10"/>
    <n v="158483"/>
    <n v="15848.3"/>
    <s v="Silver"/>
    <x v="5"/>
    <n v="40000"/>
    <s v="No"/>
    <s v="AUDC-CLASSSIL006"/>
  </r>
  <r>
    <s v="CAR10007"/>
    <s v="BMW"/>
    <s v="BMW"/>
    <s v="Bayerische Motoren Werke AG"/>
    <s v="C-Class"/>
    <s v="Mercedes-Benz C-Class"/>
    <n v="2017"/>
    <n v="9"/>
    <n v="157685"/>
    <n v="17520.555555555555"/>
    <s v="Brown"/>
    <x v="3"/>
    <n v="50000"/>
    <s v="No"/>
    <s v="BMWC-CLASSBRO007"/>
  </r>
  <r>
    <s v="CAR10008"/>
    <s v="BMW"/>
    <s v="BMW"/>
    <s v="Bayerische Motoren Werke AG"/>
    <s v="Polo"/>
    <s v="Volkswagen Polo"/>
    <n v="2014"/>
    <n v="12"/>
    <n v="155359"/>
    <n v="12946.583333333334"/>
    <s v="Silver"/>
    <x v="6"/>
    <n v="75000"/>
    <s v="No"/>
    <s v="BMWPOLOSIL008"/>
  </r>
  <r>
    <s v="CAR10009"/>
    <s v="BMW"/>
    <s v="BMW"/>
    <s v="Bayerische Motoren Werke AG"/>
    <s v="Polo"/>
    <s v="Volkswagen Polo"/>
    <n v="2016"/>
    <n v="10"/>
    <n v="149041"/>
    <n v="14904.1"/>
    <s v="Blue"/>
    <x v="7"/>
    <n v="100000"/>
    <s v="No"/>
    <s v="BMWPOLOBLU009"/>
  </r>
  <r>
    <s v="CAR10010"/>
    <s v="Ford"/>
    <s v="FOR"/>
    <s v="Ford Motor Company"/>
    <s v="Civic"/>
    <s v="Honda Civic"/>
    <n v="2017"/>
    <n v="9"/>
    <n v="148009"/>
    <n v="16445.444444444445"/>
    <s v="Red"/>
    <x v="8"/>
    <n v="50000"/>
    <s v="No"/>
    <s v="FORCIVICRED010"/>
  </r>
  <r>
    <s v="CAR10011"/>
    <s v="Ford"/>
    <s v="FOR"/>
    <s v="Ford Motor Company"/>
    <s v="Civic"/>
    <s v="Honda Civic"/>
    <n v="2014"/>
    <n v="12"/>
    <n v="143536"/>
    <n v="11961.333333333334"/>
    <s v="Red"/>
    <x v="9"/>
    <n v="75000"/>
    <s v="No"/>
    <s v="FORCIVICRED011"/>
  </r>
  <r>
    <s v="CAR10012"/>
    <s v="Ford"/>
    <s v="FOR"/>
    <s v="Ford Motor Company"/>
    <s v="Thar"/>
    <s v="Mahindra Thar"/>
    <n v="2015"/>
    <n v="11"/>
    <n v="143133"/>
    <n v="13012.09090909091"/>
    <s v="Blue"/>
    <x v="0"/>
    <n v="50000"/>
    <s v="No"/>
    <s v="FORTHARBLU012"/>
  </r>
  <r>
    <s v="CAR10013"/>
    <s v="Ford"/>
    <s v="FOR"/>
    <s v="Ford Motor Company"/>
    <s v="Camry"/>
    <s v="Toyota Camry"/>
    <n v="2017"/>
    <n v="9"/>
    <n v="142800"/>
    <n v="15866.666666666666"/>
    <s v="Green"/>
    <x v="10"/>
    <n v="30000"/>
    <s v="No"/>
    <s v="FORCAMRYGRE013"/>
  </r>
  <r>
    <s v="CAR10014"/>
    <s v="Ford"/>
    <s v="FOR"/>
    <s v="Ford Motor Company"/>
    <s v="Focus"/>
    <s v="Ford Focus"/>
    <n v="2014"/>
    <n v="12"/>
    <n v="141587"/>
    <n v="11798.916666666666"/>
    <s v="Grey"/>
    <x v="11"/>
    <n v="30000"/>
    <s v="No"/>
    <s v="FORFOCUSGRE014"/>
  </r>
  <r>
    <s v="CAR10015"/>
    <s v="Honda"/>
    <s v="HON"/>
    <s v="Honda Motor Co., Ltd."/>
    <s v="Thar"/>
    <s v="Mahindra Thar"/>
    <n v="2018"/>
    <n v="8"/>
    <n v="141517"/>
    <n v="17689.625"/>
    <s v="Red"/>
    <x v="12"/>
    <n v="75000"/>
    <s v="No"/>
    <s v="HONTHARRED015"/>
  </r>
  <r>
    <s v="CAR10016"/>
    <s v="Honda"/>
    <s v="HON"/>
    <s v="Honda Motor Co., Ltd."/>
    <s v="Swift"/>
    <s v="Maruti Suzuki Swift"/>
    <n v="2016"/>
    <n v="10"/>
    <n v="122743"/>
    <n v="12274.3"/>
    <s v="Grey"/>
    <x v="13"/>
    <n v="40000"/>
    <s v="No"/>
    <s v="HONSWIFTGRE016"/>
  </r>
  <r>
    <s v="CAR10017"/>
    <s v="Honda"/>
    <s v="HON"/>
    <s v="Honda Motor Co., Ltd."/>
    <s v="C-Class"/>
    <s v="Mercedes-Benz C-Class"/>
    <n v="2017"/>
    <n v="9"/>
    <n v="119941"/>
    <n v="13326.777777777777"/>
    <s v="Black"/>
    <x v="9"/>
    <n v="50000"/>
    <s v="No"/>
    <s v="HONC-CLASSBLA017"/>
  </r>
  <r>
    <s v="CAR10018"/>
    <s v="Honda"/>
    <s v="HON"/>
    <s v="Honda Motor Co., Ltd."/>
    <s v="Civic"/>
    <s v="Honda Civic"/>
    <n v="2018"/>
    <n v="8"/>
    <n v="110279"/>
    <n v="13784.875"/>
    <s v="White"/>
    <x v="9"/>
    <n v="60000"/>
    <s v="No"/>
    <s v="HONCIVICWHI018"/>
  </r>
  <r>
    <s v="CAR10019"/>
    <s v="Honda"/>
    <s v="HON"/>
    <s v="Honda Motor Co., Ltd."/>
    <s v="Civic"/>
    <s v="Honda Civic"/>
    <n v="2020"/>
    <n v="6"/>
    <n v="108401"/>
    <n v="18066.833333333332"/>
    <s v="Grey"/>
    <x v="9"/>
    <n v="75000"/>
    <s v="No"/>
    <s v="HONCIVICGRE019"/>
  </r>
  <r>
    <s v="CAR10020"/>
    <s v="Honda"/>
    <s v="HON"/>
    <s v="Honda Motor Co., Ltd."/>
    <s v="Polo"/>
    <s v="Volkswagen Polo"/>
    <n v="2015"/>
    <n v="11"/>
    <n v="105545"/>
    <n v="9595"/>
    <s v="Black"/>
    <x v="1"/>
    <n v="75000"/>
    <s v="No"/>
    <s v="HONPOLOBLA020"/>
  </r>
  <r>
    <s v="CAR10021"/>
    <s v="Honda"/>
    <s v="HON"/>
    <s v="Honda Motor Co., Ltd."/>
    <s v="A4"/>
    <s v="Audi A4"/>
    <n v="2016"/>
    <n v="10"/>
    <n v="105111"/>
    <n v="10511.1"/>
    <s v="Brown"/>
    <x v="2"/>
    <n v="40000"/>
    <s v="No"/>
    <s v="HONA4BRO021"/>
  </r>
  <r>
    <s v="CAR10022"/>
    <s v="Hyundai"/>
    <s v="HYU"/>
    <s v="Hyundai Motor Company"/>
    <s v="Camry"/>
    <s v="Toyota Camry"/>
    <n v="2015"/>
    <n v="11"/>
    <n v="104184"/>
    <n v="9471.2727272727279"/>
    <s v="Brown"/>
    <x v="3"/>
    <n v="40000"/>
    <s v="No"/>
    <s v="HYUCAMRYBRO022"/>
  </r>
  <r>
    <s v="CAR10023"/>
    <s v="Hyundai"/>
    <s v="HYU"/>
    <s v="Hyundai Motor Company"/>
    <s v="Elantra"/>
    <s v="Hyundai Elantra"/>
    <n v="2014"/>
    <n v="12"/>
    <n v="97754"/>
    <n v="8146.166666666667"/>
    <s v="White"/>
    <x v="1"/>
    <n v="100000"/>
    <s v="Yes"/>
    <s v="HYUELANTRAWHI023"/>
  </r>
  <r>
    <s v="CAR10024"/>
    <s v="Hyundai"/>
    <s v="HYU"/>
    <s v="Hyundai Motor Company"/>
    <s v="A4"/>
    <s v="Audi A4"/>
    <n v="2020"/>
    <n v="6"/>
    <n v="94213"/>
    <n v="15702.166666666666"/>
    <s v="Black"/>
    <x v="14"/>
    <n v="30000"/>
    <s v="No"/>
    <s v="HYUA4BLA024"/>
  </r>
  <r>
    <s v="CAR10025"/>
    <s v="Hyundai"/>
    <s v="HYU"/>
    <s v="Hyundai Motor Company"/>
    <s v="Polo"/>
    <s v="Volkswagen Polo"/>
    <n v="2016"/>
    <n v="10"/>
    <n v="91434"/>
    <n v="9143.4"/>
    <s v="Silver"/>
    <x v="9"/>
    <n v="60000"/>
    <s v="No"/>
    <s v="HYUPOLOSIL025"/>
  </r>
  <r>
    <s v="CAR10026"/>
    <s v="Hyundai"/>
    <s v="HYU"/>
    <s v="Hyundai Motor Company"/>
    <s v="Thar"/>
    <s v="Mahindra Thar"/>
    <n v="2020"/>
    <n v="6"/>
    <n v="90878"/>
    <n v="15146.333333333334"/>
    <s v="Black"/>
    <x v="0"/>
    <n v="30000"/>
    <s v="No"/>
    <s v="HYUTHARBLA026"/>
  </r>
  <r>
    <s v="CAR10027"/>
    <s v="Hyundai"/>
    <s v="HYU"/>
    <s v="Hyundai Motor Company"/>
    <s v="Thar"/>
    <s v="Mahindra Thar"/>
    <n v="2014"/>
    <n v="12"/>
    <n v="84623"/>
    <n v="7051.916666666667"/>
    <s v="Red"/>
    <x v="7"/>
    <n v="40000"/>
    <s v="No"/>
    <s v="HYUTHARRED027"/>
  </r>
  <r>
    <s v="CAR10028"/>
    <s v="Hyundai"/>
    <s v="HYU"/>
    <s v="Hyundai Motor Company"/>
    <s v="3 Series"/>
    <s v="BMW 3 Series"/>
    <n v="2017"/>
    <n v="9"/>
    <n v="84099"/>
    <n v="9344.3333333333339"/>
    <s v="White"/>
    <x v="3"/>
    <n v="40000"/>
    <s v="No"/>
    <s v="HYU3 SERIESWHI028"/>
  </r>
  <r>
    <s v="CAR10029"/>
    <s v="Kia"/>
    <s v="KIA"/>
    <s v="Kia Corporation"/>
    <s v="Focus"/>
    <s v="Ford Focus"/>
    <n v="2021"/>
    <n v="5"/>
    <n v="82763"/>
    <n v="16552.599999999999"/>
    <s v="White"/>
    <x v="4"/>
    <n v="50000"/>
    <s v="No"/>
    <s v="KIAFOCUSWHI029"/>
  </r>
  <r>
    <s v="CAR10030"/>
    <s v="Kia"/>
    <s v="KIA"/>
    <s v="Kia Corporation"/>
    <s v="C-Class"/>
    <s v="Mercedes-Benz C-Class"/>
    <n v="2015"/>
    <n v="11"/>
    <n v="82073"/>
    <n v="7461.181818181818"/>
    <s v="Red"/>
    <x v="1"/>
    <n v="50000"/>
    <s v="No"/>
    <s v="KIAC-CLASSRED030"/>
  </r>
  <r>
    <s v="CAR10031"/>
    <s v="Kia"/>
    <s v="KIA"/>
    <s v="Kia Corporation"/>
    <s v="Civic"/>
    <s v="Honda Civic"/>
    <n v="2020"/>
    <n v="6"/>
    <n v="81393"/>
    <n v="13565.5"/>
    <s v="Blue"/>
    <x v="4"/>
    <n v="60000"/>
    <s v="No"/>
    <s v="KIACIVICBLU031"/>
  </r>
  <r>
    <s v="CAR10032"/>
    <s v="Kia"/>
    <s v="KIA"/>
    <s v="Kia Corporation"/>
    <s v="Elantra"/>
    <s v="Hyundai Elantra"/>
    <n v="2018"/>
    <n v="8"/>
    <n v="81007"/>
    <n v="10125.875"/>
    <s v="White"/>
    <x v="12"/>
    <n v="75000"/>
    <s v="No"/>
    <s v="KIAELANTRAWHI032"/>
  </r>
  <r>
    <s v="CAR10033"/>
    <s v="Kia"/>
    <s v="KIA"/>
    <s v="Kia Corporation"/>
    <s v="Civic"/>
    <s v="Honda Civic"/>
    <n v="2018"/>
    <n v="8"/>
    <n v="80156"/>
    <n v="10019.5"/>
    <s v="White"/>
    <x v="15"/>
    <n v="50000"/>
    <s v="No"/>
    <s v="KIACIVICWHI033"/>
  </r>
  <r>
    <s v="CAR10034"/>
    <s v="Mahindra"/>
    <s v="MHA"/>
    <s v="Mahindra &amp; Mahindra Ltd."/>
    <s v="3 Series"/>
    <s v="BMW 3 Series"/>
    <n v="2020"/>
    <n v="6"/>
    <n v="78946"/>
    <n v="13157.666666666666"/>
    <s v="Brown"/>
    <x v="3"/>
    <n v="50000"/>
    <s v="No"/>
    <s v="MHA3 SERIESBRO034"/>
  </r>
  <r>
    <s v="CAR10035"/>
    <s v="Mahindra"/>
    <s v="MHA"/>
    <s v="Mahindra &amp; Mahindra Ltd."/>
    <s v="A4"/>
    <s v="Audi A4"/>
    <n v="2021"/>
    <n v="5"/>
    <n v="77447"/>
    <n v="15489.4"/>
    <s v="Black"/>
    <x v="4"/>
    <n v="60000"/>
    <s v="No"/>
    <s v="MHAA4BLA035"/>
  </r>
  <r>
    <s v="CAR10036"/>
    <s v="Mahindra"/>
    <s v="MHA"/>
    <s v="Mahindra &amp; Mahindra Ltd."/>
    <s v="Nexon"/>
    <s v="Tata Nexon"/>
    <n v="2019"/>
    <n v="7"/>
    <n v="75014"/>
    <n v="10716.285714285714"/>
    <s v="Black"/>
    <x v="3"/>
    <n v="50000"/>
    <s v="No"/>
    <s v="MHANEXONBLA036"/>
  </r>
  <r>
    <s v="CAR10037"/>
    <s v="Mahindra"/>
    <s v="MHA"/>
    <s v="Mahindra &amp; Mahindra Ltd."/>
    <s v="Nexon"/>
    <s v="Tata Nexon"/>
    <n v="2018"/>
    <n v="8"/>
    <n v="74139"/>
    <n v="9267.375"/>
    <s v="Black"/>
    <x v="10"/>
    <n v="50000"/>
    <s v="No"/>
    <s v="MHANEXONBLA037"/>
  </r>
  <r>
    <s v="CAR10038"/>
    <s v="Mahindra"/>
    <s v="MHA"/>
    <s v="Mahindra &amp; Mahindra Ltd."/>
    <s v="Seltos"/>
    <s v="Kia Seltos"/>
    <n v="2017"/>
    <n v="9"/>
    <n v="73245"/>
    <n v="8138.333333333333"/>
    <s v="Black"/>
    <x v="0"/>
    <n v="75000"/>
    <s v="Yes"/>
    <s v="MHASELTOSBLA038"/>
  </r>
  <r>
    <s v="CAR10039"/>
    <s v="Mahindra"/>
    <s v="MHA"/>
    <s v="Mahindra &amp; Mahindra Ltd."/>
    <s v="Thar"/>
    <s v="Mahindra Thar"/>
    <n v="2019"/>
    <n v="7"/>
    <n v="71784"/>
    <n v="10254.857142857143"/>
    <s v="Green"/>
    <x v="10"/>
    <n v="75000"/>
    <s v="Yes"/>
    <s v="MHATHARGRE039"/>
  </r>
  <r>
    <s v="CAR10040"/>
    <s v="Mahindra"/>
    <s v="MHA"/>
    <s v="Mahindra &amp; Mahindra Ltd."/>
    <s v="Camry"/>
    <s v="Toyota Camry"/>
    <n v="2020"/>
    <n v="6"/>
    <n v="71493"/>
    <n v="11915.5"/>
    <s v="Blue"/>
    <x v="6"/>
    <n v="60000"/>
    <s v="No"/>
    <s v="MHACAMRYBLU040"/>
  </r>
  <r>
    <s v="CAR10041"/>
    <s v="Mahindra"/>
    <s v="MHA"/>
    <s v="Mahindra &amp; Mahindra Ltd."/>
    <s v="Elantra"/>
    <s v="Hyundai Elantra"/>
    <n v="2017"/>
    <n v="9"/>
    <n v="70710"/>
    <n v="7856.666666666667"/>
    <s v="Red"/>
    <x v="16"/>
    <n v="30000"/>
    <s v="No"/>
    <s v="MHAELANTRARED041"/>
  </r>
  <r>
    <s v="CAR10042"/>
    <s v="Mahindra"/>
    <s v="MHA"/>
    <s v="Mahindra &amp; Mahindra Ltd."/>
    <s v="Civic"/>
    <s v="Honda Civic"/>
    <n v="2020"/>
    <n v="6"/>
    <n v="70038"/>
    <n v="11673"/>
    <s v="Grey"/>
    <x v="17"/>
    <n v="100000"/>
    <s v="Yes"/>
    <s v="MHACIVICGRE042"/>
  </r>
  <r>
    <s v="CAR10043"/>
    <s v="Maruti"/>
    <s v="MAR"/>
    <s v="Maruti Suzuki India Limited"/>
    <s v="Camry"/>
    <s v="Toyota Camry"/>
    <n v="2017"/>
    <n v="9"/>
    <n v="69819"/>
    <n v="7757.666666666667"/>
    <s v="Brown"/>
    <x v="9"/>
    <n v="50000"/>
    <s v="No"/>
    <s v="MARCAMRYBRO043"/>
  </r>
  <r>
    <s v="CAR10044"/>
    <s v="Maruti"/>
    <s v="MAR"/>
    <s v="Maruti Suzuki India Limited"/>
    <s v="Elantra"/>
    <s v="Hyundai Elantra"/>
    <n v="2021"/>
    <n v="5"/>
    <n v="63640"/>
    <n v="12728"/>
    <s v="Red"/>
    <x v="2"/>
    <n v="40000"/>
    <s v="No"/>
    <s v="MARELANTRARED044"/>
  </r>
  <r>
    <s v="CAR10045"/>
    <s v="Maruti"/>
    <s v="MAR"/>
    <s v="Maruti Suzuki India Limited"/>
    <s v="A4"/>
    <s v="Audi A4"/>
    <n v="2022"/>
    <n v="4"/>
    <n v="63472"/>
    <n v="15868"/>
    <s v="Brown"/>
    <x v="16"/>
    <n v="100000"/>
    <s v="Yes"/>
    <s v="MARA4BRO045"/>
  </r>
  <r>
    <s v="CAR10046"/>
    <s v="Mercedes-Benz"/>
    <s v="MER"/>
    <s v="Mercedes-Benz Group AG"/>
    <s v="Seltos"/>
    <s v="Kia Seltos"/>
    <n v="2020"/>
    <n v="6"/>
    <n v="58486"/>
    <n v="9747.6666666666661"/>
    <s v="Brown"/>
    <x v="18"/>
    <n v="30000"/>
    <s v="No"/>
    <s v="MERSELTOSBRO046"/>
  </r>
  <r>
    <s v="CAR10047"/>
    <s v="Mercedes-Benz"/>
    <s v="MER"/>
    <s v="Mercedes-Benz Group AG"/>
    <s v="Elantra"/>
    <s v="Hyundai Elantra"/>
    <n v="2022"/>
    <n v="4"/>
    <n v="56548"/>
    <n v="14137"/>
    <s v="Silver"/>
    <x v="9"/>
    <n v="60000"/>
    <s v="Yes"/>
    <s v="MERELANTRASIL047"/>
  </r>
  <r>
    <s v="CAR10048"/>
    <s v="Mercedes-Benz"/>
    <s v="MER"/>
    <s v="Mercedes-Benz Group AG"/>
    <s v="C-Class"/>
    <s v="Mercedes-Benz C-Class"/>
    <n v="2021"/>
    <n v="5"/>
    <n v="54467"/>
    <n v="10893.4"/>
    <s v="Green"/>
    <x v="1"/>
    <n v="40000"/>
    <s v="No"/>
    <s v="MERC-CLASSGRE048"/>
  </r>
  <r>
    <s v="CAR10049"/>
    <s v="Mercedes-Benz"/>
    <s v="MER"/>
    <s v="Mercedes-Benz Group AG"/>
    <s v="Seltos"/>
    <s v="Kia Seltos"/>
    <n v="2021"/>
    <n v="5"/>
    <n v="53295"/>
    <n v="10659"/>
    <s v="Silver"/>
    <x v="19"/>
    <n v="30000"/>
    <s v="No"/>
    <s v="MERSELTOSSIL049"/>
  </r>
  <r>
    <s v="CAR10050"/>
    <s v="Mercedes-Benz"/>
    <s v="MER"/>
    <s v="Mercedes-Benz Group AG"/>
    <s v="Seltos"/>
    <s v="Kia Seltos"/>
    <n v="2023"/>
    <n v="3"/>
    <n v="47991"/>
    <n v="15997"/>
    <s v="Red"/>
    <x v="7"/>
    <n v="30000"/>
    <s v="No"/>
    <s v="MERSELTOSRED050"/>
  </r>
  <r>
    <s v="CAR10051"/>
    <s v="Mercedes-Benz"/>
    <s v="MER"/>
    <s v="Mercedes-Benz Group AG"/>
    <s v="Polo"/>
    <s v="Volkswagen Polo"/>
    <n v="2023"/>
    <n v="3"/>
    <n v="42031"/>
    <n v="14010.333333333334"/>
    <s v="Red"/>
    <x v="13"/>
    <n v="75000"/>
    <s v="Yes"/>
    <s v="MERPOLORED051"/>
  </r>
  <r>
    <s v="CAR10052"/>
    <s v="Mercedes-Benz"/>
    <s v="MER"/>
    <s v="Mercedes-Benz Group AG"/>
    <s v="Elantra"/>
    <s v="Hyundai Elantra"/>
    <n v="2024"/>
    <n v="2"/>
    <n v="40769"/>
    <n v="20384.5"/>
    <s v="Green"/>
    <x v="9"/>
    <n v="50000"/>
    <s v="Yes"/>
    <s v="MERELANTRAGRE052"/>
  </r>
  <r>
    <s v="CAR10053"/>
    <s v="Tata"/>
    <s v="TAT"/>
    <s v="Tata Motors Limited"/>
    <s v="Seltos"/>
    <s v="Kia Seltos"/>
    <n v="2023"/>
    <n v="3"/>
    <n v="39801"/>
    <n v="13267"/>
    <s v="Silver"/>
    <x v="6"/>
    <n v="30000"/>
    <s v="No"/>
    <s v="TATSELTOSSIL053"/>
  </r>
  <r>
    <s v="CAR10054"/>
    <s v="Tata"/>
    <s v="TAT"/>
    <s v="Tata Motors Limited"/>
    <s v="A4"/>
    <s v="Audi A4"/>
    <n v="2022"/>
    <n v="4"/>
    <n v="38415"/>
    <n v="9603.75"/>
    <s v="Red"/>
    <x v="12"/>
    <n v="50000"/>
    <s v="Yes"/>
    <s v="TATA4RED054"/>
  </r>
  <r>
    <s v="CAR10055"/>
    <s v="Tata"/>
    <s v="TAT"/>
    <s v="Tata Motors Limited"/>
    <s v="Thar"/>
    <s v="Mahindra Thar"/>
    <n v="2024"/>
    <n v="2"/>
    <n v="37353"/>
    <n v="18676.5"/>
    <s v="Green"/>
    <x v="15"/>
    <n v="60000"/>
    <s v="Yes"/>
    <s v="TATTHARGRE055"/>
  </r>
  <r>
    <s v="CAR10056"/>
    <s v="Tata"/>
    <s v="TAT"/>
    <s v="Tata Motors Limited"/>
    <s v="Swift"/>
    <s v="Maruti Suzuki Swift"/>
    <n v="2024"/>
    <n v="2"/>
    <n v="36228"/>
    <n v="18114"/>
    <s v="Red"/>
    <x v="10"/>
    <n v="75000"/>
    <s v="Yes"/>
    <s v="TATSWIFTRED056"/>
  </r>
  <r>
    <s v="CAR10057"/>
    <s v="Tata"/>
    <s v="TAT"/>
    <s v="Tata Motors Limited"/>
    <s v="Nexon"/>
    <s v="Tata Nexon"/>
    <n v="2021"/>
    <n v="5"/>
    <n v="35011"/>
    <n v="7002.2"/>
    <s v="Blue"/>
    <x v="1"/>
    <n v="50000"/>
    <s v="Yes"/>
    <s v="TATNEXONBLU057"/>
  </r>
  <r>
    <s v="CAR10058"/>
    <s v="Toyota"/>
    <s v="TOY"/>
    <s v="Toyota Motor Corporation"/>
    <s v="Nexon"/>
    <s v="Tata Nexon"/>
    <n v="2024"/>
    <n v="2"/>
    <n v="32966"/>
    <n v="16483"/>
    <s v="Grey"/>
    <x v="2"/>
    <n v="100000"/>
    <s v="Yes"/>
    <s v="TOYNEXONGRE058"/>
  </r>
  <r>
    <s v="CAR10059"/>
    <s v="Toyota"/>
    <s v="TOY"/>
    <s v="Toyota Motor Corporation"/>
    <s v="Thar"/>
    <s v="Mahindra Thar"/>
    <n v="2024"/>
    <n v="2"/>
    <n v="29204"/>
    <n v="14602"/>
    <s v="Silver"/>
    <x v="1"/>
    <n v="50000"/>
    <s v="Yes"/>
    <s v="TOYTHARSIL059"/>
  </r>
  <r>
    <s v="CAR10060"/>
    <s v="Toyota"/>
    <s v="TOY"/>
    <s v="Toyota Motor Corporation"/>
    <s v="C-Class"/>
    <s v="Mercedes-Benz C-Class"/>
    <n v="2022"/>
    <n v="4"/>
    <n v="27728"/>
    <n v="6932"/>
    <s v="Silver"/>
    <x v="6"/>
    <n v="40000"/>
    <s v="Yes"/>
    <s v="TOYC-CLASSSIL060"/>
  </r>
  <r>
    <s v="CAR10061"/>
    <s v="Toyota"/>
    <s v="TOY"/>
    <s v="Toyota Motor Corporation"/>
    <s v="Camry"/>
    <s v="Toyota Camry"/>
    <n v="2024"/>
    <n v="2"/>
    <n v="26798"/>
    <n v="13399"/>
    <s v="Black"/>
    <x v="1"/>
    <n v="50000"/>
    <s v="Yes"/>
    <s v="TOYCAMRYBLA061"/>
  </r>
  <r>
    <s v="CAR10062"/>
    <s v="Toyota"/>
    <s v="TOY"/>
    <s v="Toyota Motor Corporation"/>
    <s v="C-Class"/>
    <s v="Mercedes-Benz C-Class"/>
    <n v="2024"/>
    <n v="2"/>
    <n v="26575"/>
    <n v="13287.5"/>
    <s v="Black"/>
    <x v="2"/>
    <n v="50000"/>
    <s v="Yes"/>
    <s v="TOYC-CLASSBLA062"/>
  </r>
  <r>
    <s v="CAR10063"/>
    <s v="Toyota"/>
    <s v="TOY"/>
    <s v="Toyota Motor Corporation"/>
    <s v="Elantra"/>
    <s v="Hyundai Elantra"/>
    <n v="2024"/>
    <n v="2"/>
    <n v="25249"/>
    <n v="12624.5"/>
    <s v="Brown"/>
    <x v="14"/>
    <n v="50000"/>
    <s v="Yes"/>
    <s v="TOYELANTRABRO063"/>
  </r>
  <r>
    <s v="CAR10064"/>
    <s v="Toyota"/>
    <s v="TOY"/>
    <s v="Toyota Motor Corporation"/>
    <s v="Camry"/>
    <s v="Toyota Camry"/>
    <n v="2024"/>
    <n v="2"/>
    <n v="22336"/>
    <n v="11168"/>
    <s v="Blue"/>
    <x v="12"/>
    <n v="75000"/>
    <s v="Yes"/>
    <s v="TOYCAMRYBLU064"/>
  </r>
  <r>
    <s v="CAR10065"/>
    <s v="Toyota"/>
    <s v="TOY"/>
    <s v="Toyota Motor Corporation"/>
    <s v="A4"/>
    <s v="Audi A4"/>
    <n v="2025"/>
    <n v="1"/>
    <n v="21027"/>
    <n v="21027"/>
    <s v="Green"/>
    <x v="14"/>
    <n v="100000"/>
    <s v="Yes"/>
    <s v="TOYA4GRE065"/>
  </r>
  <r>
    <s v="CAR10066"/>
    <s v="Volkswagen"/>
    <s v="VW"/>
    <s v="Volkswagen AG"/>
    <s v="Thar"/>
    <s v="Mahindra Thar"/>
    <n v="2025"/>
    <n v="1"/>
    <n v="18617"/>
    <n v="18617"/>
    <s v="Red"/>
    <x v="11"/>
    <n v="30000"/>
    <s v="Yes"/>
    <s v="VWTHARRED066"/>
  </r>
  <r>
    <s v="CAR10067"/>
    <s v="Volkswagen"/>
    <s v="VW"/>
    <s v="Volkswagen AG"/>
    <s v="Focus"/>
    <s v="Ford Focus"/>
    <n v="2025"/>
    <n v="1"/>
    <n v="18351"/>
    <n v="18351"/>
    <s v="Red"/>
    <x v="9"/>
    <n v="60000"/>
    <s v="Yes"/>
    <s v="VWFOCUSRED067"/>
  </r>
  <r>
    <s v="CAR10068"/>
    <s v="Volkswagen"/>
    <s v="VW"/>
    <s v="Volkswagen AG"/>
    <s v="Swift"/>
    <s v="Maruti Suzuki Swift"/>
    <n v="2024"/>
    <n v="2"/>
    <n v="17494"/>
    <n v="8747"/>
    <s v="Black"/>
    <x v="15"/>
    <n v="50000"/>
    <s v="Yes"/>
    <s v="VWSWIFTBLA068"/>
  </r>
  <r>
    <s v="CAR10069"/>
    <s v="Volkswagen"/>
    <s v="VW"/>
    <s v="Volkswagen AG"/>
    <s v="Focus"/>
    <s v="Ford Focus"/>
    <n v="2025"/>
    <n v="1"/>
    <n v="13722"/>
    <n v="13722"/>
    <s v="Black"/>
    <x v="16"/>
    <n v="100000"/>
    <s v="Yes"/>
    <s v="VWFOCUSBLA069"/>
  </r>
  <r>
    <s v="CAR10070"/>
    <s v="Volkswagen"/>
    <s v="VW"/>
    <s v="Volkswagen AG"/>
    <s v="Focus"/>
    <s v="Ford Focus"/>
    <n v="2025"/>
    <n v="1"/>
    <n v="11404"/>
    <n v="11404"/>
    <s v="Green"/>
    <x v="1"/>
    <n v="30000"/>
    <s v="Yes"/>
    <s v="VWFOCUSGRE0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72E86-1569-47E9-8F67-267470945D5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4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21">
        <item x="2"/>
        <item x="11"/>
        <item x="15"/>
        <item x="16"/>
        <item x="3"/>
        <item x="19"/>
        <item x="13"/>
        <item x="12"/>
        <item x="4"/>
        <item x="17"/>
        <item x="5"/>
        <item x="18"/>
        <item x="0"/>
        <item x="9"/>
        <item x="8"/>
        <item x="10"/>
        <item x="7"/>
        <item x="6"/>
        <item x="1"/>
        <item x="14"/>
        <item t="default"/>
      </items>
    </pivotField>
    <pivotField numFmtId="43" showAll="0"/>
    <pivotField showAll="0"/>
    <pivotField showAll="0"/>
  </pivotFields>
  <rowFields count="1">
    <field x="1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Miles" fld="8" baseField="0" baseItem="0" numFmtId="4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88E3-0F3E-4672-A602-8F18B380E47E}">
  <dimension ref="A3:B24"/>
  <sheetViews>
    <sheetView workbookViewId="0">
      <selection activeCell="O12" sqref="O12"/>
    </sheetView>
  </sheetViews>
  <sheetFormatPr defaultRowHeight="14.4" x14ac:dyDescent="0.3"/>
  <cols>
    <col min="1" max="1" width="13.6640625" bestFit="1" customWidth="1"/>
    <col min="2" max="2" width="12.5546875" bestFit="1" customWidth="1"/>
  </cols>
  <sheetData>
    <row r="3" spans="1:2" x14ac:dyDescent="0.3">
      <c r="A3" s="6" t="s">
        <v>172</v>
      </c>
      <c r="B3" t="s">
        <v>174</v>
      </c>
    </row>
    <row r="4" spans="1:2" x14ac:dyDescent="0.3">
      <c r="A4" s="7" t="s">
        <v>137</v>
      </c>
      <c r="B4" s="8">
        <v>417573</v>
      </c>
    </row>
    <row r="5" spans="1:2" x14ac:dyDescent="0.3">
      <c r="A5" s="7" t="s">
        <v>121</v>
      </c>
      <c r="B5" s="8">
        <v>160204</v>
      </c>
    </row>
    <row r="6" spans="1:2" x14ac:dyDescent="0.3">
      <c r="A6" s="7" t="s">
        <v>108</v>
      </c>
      <c r="B6" s="8">
        <v>135003</v>
      </c>
    </row>
    <row r="7" spans="1:2" x14ac:dyDescent="0.3">
      <c r="A7" s="7" t="s">
        <v>25</v>
      </c>
      <c r="B7" s="8">
        <v>147904</v>
      </c>
    </row>
    <row r="8" spans="1:2" x14ac:dyDescent="0.3">
      <c r="A8" s="7" t="s">
        <v>78</v>
      </c>
      <c r="B8" s="8">
        <v>676107</v>
      </c>
    </row>
    <row r="9" spans="1:2" x14ac:dyDescent="0.3">
      <c r="A9" s="7" t="s">
        <v>126</v>
      </c>
      <c r="B9" s="8">
        <v>53295</v>
      </c>
    </row>
    <row r="10" spans="1:2" x14ac:dyDescent="0.3">
      <c r="A10" s="7" t="s">
        <v>106</v>
      </c>
      <c r="B10" s="8">
        <v>164774</v>
      </c>
    </row>
    <row r="11" spans="1:2" x14ac:dyDescent="0.3">
      <c r="A11" s="7" t="s">
        <v>82</v>
      </c>
      <c r="B11" s="8">
        <v>283275</v>
      </c>
    </row>
    <row r="12" spans="1:2" x14ac:dyDescent="0.3">
      <c r="A12" s="7" t="s">
        <v>59</v>
      </c>
      <c r="B12" s="8">
        <v>413128</v>
      </c>
    </row>
    <row r="13" spans="1:2" x14ac:dyDescent="0.3">
      <c r="A13" s="7" t="s">
        <v>76</v>
      </c>
      <c r="B13" s="8">
        <v>70038</v>
      </c>
    </row>
    <row r="14" spans="1:2" x14ac:dyDescent="0.3">
      <c r="A14" s="7" t="s">
        <v>80</v>
      </c>
      <c r="B14" s="8">
        <v>158483</v>
      </c>
    </row>
    <row r="15" spans="1:2" x14ac:dyDescent="0.3">
      <c r="A15" s="7" t="s">
        <v>118</v>
      </c>
      <c r="B15" s="8">
        <v>58486</v>
      </c>
    </row>
    <row r="16" spans="1:2" x14ac:dyDescent="0.3">
      <c r="A16" s="7" t="s">
        <v>53</v>
      </c>
      <c r="B16" s="8">
        <v>504013</v>
      </c>
    </row>
    <row r="17" spans="1:2" x14ac:dyDescent="0.3">
      <c r="A17" s="7" t="s">
        <v>84</v>
      </c>
      <c r="B17" s="8">
        <v>759078</v>
      </c>
    </row>
    <row r="18" spans="1:2" x14ac:dyDescent="0.3">
      <c r="A18" s="7" t="s">
        <v>86</v>
      </c>
      <c r="B18" s="8">
        <v>148009</v>
      </c>
    </row>
    <row r="19" spans="1:2" x14ac:dyDescent="0.3">
      <c r="A19" s="7" t="s">
        <v>50</v>
      </c>
      <c r="B19" s="8">
        <v>324951</v>
      </c>
    </row>
    <row r="20" spans="1:2" x14ac:dyDescent="0.3">
      <c r="A20" s="7" t="s">
        <v>31</v>
      </c>
      <c r="B20" s="8">
        <v>281655</v>
      </c>
    </row>
    <row r="21" spans="1:2" x14ac:dyDescent="0.3">
      <c r="A21" s="7" t="s">
        <v>44</v>
      </c>
      <c r="B21" s="8">
        <v>294381</v>
      </c>
    </row>
    <row r="22" spans="1:2" x14ac:dyDescent="0.3">
      <c r="A22" s="7" t="s">
        <v>18</v>
      </c>
      <c r="B22" s="8">
        <v>632224</v>
      </c>
    </row>
    <row r="23" spans="1:2" x14ac:dyDescent="0.3">
      <c r="A23" s="7" t="s">
        <v>129</v>
      </c>
      <c r="B23" s="8">
        <v>140489</v>
      </c>
    </row>
    <row r="24" spans="1:2" x14ac:dyDescent="0.3">
      <c r="A24" s="7" t="s">
        <v>173</v>
      </c>
      <c r="B24" s="8">
        <v>5823070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F21A-ED1F-4E8E-A706-E4B66A652E72}">
  <dimension ref="A1:G4"/>
  <sheetViews>
    <sheetView workbookViewId="0">
      <selection activeCell="O4" sqref="O4"/>
    </sheetView>
  </sheetViews>
  <sheetFormatPr defaultRowHeight="14.4" x14ac:dyDescent="0.3"/>
  <cols>
    <col min="2" max="2" width="12.77734375" bestFit="1" customWidth="1"/>
    <col min="3" max="3" width="11.5546875" bestFit="1" customWidth="1"/>
    <col min="4" max="4" width="7.21875" bestFit="1" customWidth="1"/>
    <col min="5" max="5" width="11.21875" bestFit="1" customWidth="1"/>
    <col min="6" max="6" width="13.6640625" bestFit="1" customWidth="1"/>
    <col min="7" max="7" width="16.21875" bestFit="1" customWidth="1"/>
  </cols>
  <sheetData>
    <row r="1" spans="1:7" x14ac:dyDescent="0.3"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</row>
    <row r="2" spans="1:7" x14ac:dyDescent="0.3">
      <c r="A2" t="s">
        <v>175</v>
      </c>
      <c r="B2" s="9">
        <v>100000</v>
      </c>
      <c r="C2" s="10">
        <v>0.08</v>
      </c>
      <c r="D2">
        <v>12</v>
      </c>
      <c r="E2" s="11">
        <f>B2*C2</f>
        <v>8000</v>
      </c>
      <c r="F2" s="11">
        <f>E2+B2</f>
        <v>108000</v>
      </c>
      <c r="G2" s="11">
        <f>F2/D2</f>
        <v>9000</v>
      </c>
    </row>
    <row r="3" spans="1:7" x14ac:dyDescent="0.3">
      <c r="A3" t="s">
        <v>176</v>
      </c>
      <c r="B3" s="9">
        <v>100000</v>
      </c>
      <c r="C3" s="10">
        <v>0.09</v>
      </c>
      <c r="D3">
        <v>12</v>
      </c>
      <c r="E3" s="11">
        <f t="shared" ref="E3:E4" si="0">B3*C3</f>
        <v>9000</v>
      </c>
      <c r="F3" s="11">
        <f t="shared" ref="F3:F4" si="1">E3+B3</f>
        <v>109000</v>
      </c>
      <c r="G3" s="11">
        <f t="shared" ref="G3:G4" si="2">F3/D3</f>
        <v>9083.3333333333339</v>
      </c>
    </row>
    <row r="4" spans="1:7" x14ac:dyDescent="0.3">
      <c r="A4" t="s">
        <v>177</v>
      </c>
      <c r="B4" s="9">
        <v>100000</v>
      </c>
      <c r="C4" s="10">
        <v>0.1</v>
      </c>
      <c r="D4">
        <v>12</v>
      </c>
      <c r="E4" s="11">
        <f t="shared" si="0"/>
        <v>10000</v>
      </c>
      <c r="F4" s="11">
        <f t="shared" si="1"/>
        <v>110000</v>
      </c>
      <c r="G4" s="11">
        <f t="shared" si="2"/>
        <v>9166.6666666666661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7DDA-0155-4E72-ABC2-1E3464CFF8BC}">
  <dimension ref="A2:Q16"/>
  <sheetViews>
    <sheetView zoomScale="55" workbookViewId="0">
      <selection activeCell="C11" sqref="C11"/>
    </sheetView>
  </sheetViews>
  <sheetFormatPr defaultRowHeight="17.399999999999999" x14ac:dyDescent="0.3"/>
  <cols>
    <col min="1" max="1" width="17.44140625" style="12" customWidth="1"/>
    <col min="2" max="2" width="22.88671875" style="12" customWidth="1"/>
    <col min="3" max="3" width="25.109375" style="12" customWidth="1"/>
    <col min="4" max="4" width="16.21875" style="12" customWidth="1"/>
    <col min="5" max="5" width="8.88671875" style="12"/>
    <col min="6" max="6" width="9.6640625" style="12" bestFit="1" customWidth="1"/>
    <col min="7" max="7" width="8.88671875" style="12"/>
    <col min="8" max="8" width="20" style="12" bestFit="1" customWidth="1"/>
    <col min="9" max="9" width="18.33203125" style="12" customWidth="1"/>
    <col min="10" max="10" width="14.77734375" style="12" bestFit="1" customWidth="1"/>
    <col min="11" max="11" width="8.88671875" style="12"/>
    <col min="12" max="12" width="23.109375" style="12" bestFit="1" customWidth="1"/>
    <col min="13" max="14" width="8.88671875" style="12"/>
    <col min="15" max="15" width="20" style="12" bestFit="1" customWidth="1"/>
    <col min="16" max="16" width="16.109375" style="12" bestFit="1" customWidth="1"/>
    <col min="17" max="17" width="14.77734375" style="12" bestFit="1" customWidth="1"/>
    <col min="18" max="16384" width="8.88671875" style="12"/>
  </cols>
  <sheetData>
    <row r="2" spans="1:17" x14ac:dyDescent="0.3">
      <c r="A2" s="21" t="s">
        <v>184</v>
      </c>
      <c r="B2" s="19" t="s">
        <v>196</v>
      </c>
      <c r="C2" s="19" t="s">
        <v>197</v>
      </c>
      <c r="D2" s="19" t="s">
        <v>198</v>
      </c>
      <c r="F2" s="17" t="s">
        <v>199</v>
      </c>
      <c r="G2" s="17"/>
      <c r="H2" s="17" t="s">
        <v>196</v>
      </c>
      <c r="I2" s="17" t="s">
        <v>197</v>
      </c>
      <c r="J2" s="17" t="s">
        <v>198</v>
      </c>
      <c r="L2" s="21" t="s">
        <v>184</v>
      </c>
      <c r="M2" s="15" t="s">
        <v>201</v>
      </c>
      <c r="N2" s="15"/>
      <c r="O2" s="15" t="s">
        <v>196</v>
      </c>
      <c r="P2" s="15" t="s">
        <v>197</v>
      </c>
      <c r="Q2" s="15" t="s">
        <v>198</v>
      </c>
    </row>
    <row r="3" spans="1:17" x14ac:dyDescent="0.3">
      <c r="A3" s="21" t="s">
        <v>185</v>
      </c>
      <c r="B3" s="20">
        <v>10</v>
      </c>
      <c r="C3" s="20">
        <v>15</v>
      </c>
      <c r="D3" s="20">
        <v>12</v>
      </c>
      <c r="F3" s="18">
        <v>5</v>
      </c>
      <c r="G3" s="17"/>
      <c r="H3" s="18">
        <f>B3*$F3</f>
        <v>50</v>
      </c>
      <c r="I3" s="18">
        <f t="shared" ref="I3:J13" si="0">C3*$F3</f>
        <v>75</v>
      </c>
      <c r="J3" s="18">
        <f t="shared" si="0"/>
        <v>60</v>
      </c>
      <c r="L3" s="21" t="s">
        <v>185</v>
      </c>
      <c r="M3" s="15">
        <v>2</v>
      </c>
      <c r="N3" s="15"/>
      <c r="O3" s="16">
        <f>B3*$M3</f>
        <v>20</v>
      </c>
      <c r="P3" s="16">
        <f>C3*$M3</f>
        <v>30</v>
      </c>
      <c r="Q3" s="16">
        <f>D3*$M3</f>
        <v>24</v>
      </c>
    </row>
    <row r="4" spans="1:17" x14ac:dyDescent="0.3">
      <c r="A4" s="21" t="s">
        <v>186</v>
      </c>
      <c r="B4" s="20">
        <v>9</v>
      </c>
      <c r="C4" s="20">
        <v>10</v>
      </c>
      <c r="D4" s="20">
        <v>10</v>
      </c>
      <c r="F4" s="18">
        <v>2</v>
      </c>
      <c r="G4" s="17"/>
      <c r="H4" s="18">
        <f t="shared" ref="H4:H14" si="1">B4*$F4</f>
        <v>18</v>
      </c>
      <c r="I4" s="18">
        <f t="shared" si="0"/>
        <v>20</v>
      </c>
      <c r="J4" s="18">
        <f t="shared" si="0"/>
        <v>20</v>
      </c>
      <c r="L4" s="21" t="s">
        <v>186</v>
      </c>
      <c r="M4" s="15">
        <v>1</v>
      </c>
      <c r="N4" s="15"/>
      <c r="O4" s="16">
        <f t="shared" ref="O4:Q13" si="2">B4*$M4</f>
        <v>9</v>
      </c>
      <c r="P4" s="16">
        <f t="shared" si="2"/>
        <v>10</v>
      </c>
      <c r="Q4" s="16">
        <f t="shared" si="2"/>
        <v>10</v>
      </c>
    </row>
    <row r="5" spans="1:17" x14ac:dyDescent="0.3">
      <c r="A5" s="21" t="s">
        <v>187</v>
      </c>
      <c r="B5" s="20">
        <v>50</v>
      </c>
      <c r="C5" s="20">
        <v>60</v>
      </c>
      <c r="D5" s="20">
        <v>55</v>
      </c>
      <c r="F5" s="18">
        <v>1</v>
      </c>
      <c r="G5" s="17"/>
      <c r="H5" s="18">
        <f t="shared" si="1"/>
        <v>50</v>
      </c>
      <c r="I5" s="18">
        <f t="shared" si="0"/>
        <v>60</v>
      </c>
      <c r="J5" s="18">
        <f t="shared" si="0"/>
        <v>55</v>
      </c>
      <c r="L5" s="21" t="s">
        <v>187</v>
      </c>
      <c r="M5" s="15">
        <v>1</v>
      </c>
      <c r="N5" s="15"/>
      <c r="O5" s="16">
        <f t="shared" si="2"/>
        <v>50</v>
      </c>
      <c r="P5" s="16">
        <f t="shared" si="2"/>
        <v>60</v>
      </c>
      <c r="Q5" s="16">
        <f t="shared" si="2"/>
        <v>55</v>
      </c>
    </row>
    <row r="6" spans="1:17" x14ac:dyDescent="0.3">
      <c r="A6" s="21" t="s">
        <v>188</v>
      </c>
      <c r="B6" s="20">
        <v>5</v>
      </c>
      <c r="C6" s="20">
        <v>5</v>
      </c>
      <c r="D6" s="20">
        <v>5</v>
      </c>
      <c r="F6" s="18">
        <v>1</v>
      </c>
      <c r="G6" s="17"/>
      <c r="H6" s="18">
        <f t="shared" si="1"/>
        <v>5</v>
      </c>
      <c r="I6" s="18">
        <f t="shared" si="0"/>
        <v>5</v>
      </c>
      <c r="J6" s="18">
        <f t="shared" si="0"/>
        <v>5</v>
      </c>
      <c r="L6" s="21" t="s">
        <v>188</v>
      </c>
      <c r="M6" s="15">
        <v>1</v>
      </c>
      <c r="N6" s="15"/>
      <c r="O6" s="16">
        <f t="shared" si="2"/>
        <v>5</v>
      </c>
      <c r="P6" s="16">
        <f t="shared" si="2"/>
        <v>5</v>
      </c>
      <c r="Q6" s="16">
        <f t="shared" si="2"/>
        <v>5</v>
      </c>
    </row>
    <row r="7" spans="1:17" x14ac:dyDescent="0.3">
      <c r="A7" s="21" t="s">
        <v>189</v>
      </c>
      <c r="B7" s="20">
        <v>70</v>
      </c>
      <c r="C7" s="20">
        <v>80</v>
      </c>
      <c r="D7" s="20">
        <v>75</v>
      </c>
      <c r="F7" s="18">
        <v>1</v>
      </c>
      <c r="G7" s="17"/>
      <c r="H7" s="18">
        <f t="shared" si="1"/>
        <v>70</v>
      </c>
      <c r="I7" s="18">
        <f t="shared" si="0"/>
        <v>80</v>
      </c>
      <c r="J7" s="18">
        <f t="shared" si="0"/>
        <v>75</v>
      </c>
      <c r="L7" s="21" t="s">
        <v>189</v>
      </c>
      <c r="M7" s="15">
        <v>1</v>
      </c>
      <c r="N7" s="15"/>
      <c r="O7" s="16">
        <f t="shared" si="2"/>
        <v>70</v>
      </c>
      <c r="P7" s="16">
        <f t="shared" si="2"/>
        <v>80</v>
      </c>
      <c r="Q7" s="16">
        <f t="shared" si="2"/>
        <v>75</v>
      </c>
    </row>
    <row r="8" spans="1:17" x14ac:dyDescent="0.3">
      <c r="A8" s="21" t="s">
        <v>190</v>
      </c>
      <c r="B8" s="20">
        <v>30</v>
      </c>
      <c r="C8" s="20">
        <v>40</v>
      </c>
      <c r="D8" s="20">
        <v>30</v>
      </c>
      <c r="F8" s="18">
        <v>1</v>
      </c>
      <c r="G8" s="17"/>
      <c r="H8" s="18">
        <f t="shared" si="1"/>
        <v>30</v>
      </c>
      <c r="I8" s="18">
        <f t="shared" si="0"/>
        <v>40</v>
      </c>
      <c r="J8" s="18">
        <f t="shared" si="0"/>
        <v>30</v>
      </c>
      <c r="L8" s="21" t="s">
        <v>190</v>
      </c>
      <c r="M8" s="15">
        <v>2</v>
      </c>
      <c r="N8" s="15"/>
      <c r="O8" s="16">
        <f t="shared" si="2"/>
        <v>60</v>
      </c>
      <c r="P8" s="16">
        <f t="shared" si="2"/>
        <v>80</v>
      </c>
      <c r="Q8" s="16">
        <f t="shared" si="2"/>
        <v>60</v>
      </c>
    </row>
    <row r="9" spans="1:17" x14ac:dyDescent="0.3">
      <c r="A9" s="21" t="s">
        <v>191</v>
      </c>
      <c r="B9" s="20">
        <v>60</v>
      </c>
      <c r="C9" s="20">
        <v>80</v>
      </c>
      <c r="D9" s="20">
        <v>70</v>
      </c>
      <c r="F9" s="18">
        <v>2</v>
      </c>
      <c r="G9" s="17"/>
      <c r="H9" s="18">
        <f t="shared" si="1"/>
        <v>120</v>
      </c>
      <c r="I9" s="18">
        <f t="shared" si="0"/>
        <v>160</v>
      </c>
      <c r="J9" s="18">
        <f t="shared" si="0"/>
        <v>140</v>
      </c>
      <c r="L9" s="21" t="s">
        <v>191</v>
      </c>
      <c r="M9" s="15">
        <v>1</v>
      </c>
      <c r="N9" s="15"/>
      <c r="O9" s="16">
        <f t="shared" si="2"/>
        <v>60</v>
      </c>
      <c r="P9" s="16">
        <f t="shared" si="2"/>
        <v>80</v>
      </c>
      <c r="Q9" s="16">
        <f t="shared" si="2"/>
        <v>70</v>
      </c>
    </row>
    <row r="10" spans="1:17" x14ac:dyDescent="0.3">
      <c r="A10" s="21" t="s">
        <v>192</v>
      </c>
      <c r="B10" s="20">
        <v>10</v>
      </c>
      <c r="C10" s="20">
        <v>10</v>
      </c>
      <c r="D10" s="20">
        <v>10</v>
      </c>
      <c r="F10" s="18">
        <v>1</v>
      </c>
      <c r="G10" s="17"/>
      <c r="H10" s="18">
        <f t="shared" si="1"/>
        <v>10</v>
      </c>
      <c r="I10" s="18">
        <f t="shared" si="0"/>
        <v>10</v>
      </c>
      <c r="J10" s="18">
        <f t="shared" si="0"/>
        <v>10</v>
      </c>
      <c r="L10" s="21" t="s">
        <v>192</v>
      </c>
      <c r="M10" s="15">
        <v>1</v>
      </c>
      <c r="N10" s="15"/>
      <c r="O10" s="16">
        <f t="shared" si="2"/>
        <v>10</v>
      </c>
      <c r="P10" s="16">
        <f t="shared" si="2"/>
        <v>10</v>
      </c>
      <c r="Q10" s="16">
        <f t="shared" si="2"/>
        <v>10</v>
      </c>
    </row>
    <row r="11" spans="1:17" x14ac:dyDescent="0.3">
      <c r="A11" s="21" t="s">
        <v>193</v>
      </c>
      <c r="B11" s="20">
        <v>20</v>
      </c>
      <c r="C11" s="20">
        <v>25</v>
      </c>
      <c r="D11" s="20">
        <v>20</v>
      </c>
      <c r="F11" s="18">
        <v>1</v>
      </c>
      <c r="G11" s="17"/>
      <c r="H11" s="18">
        <f t="shared" si="1"/>
        <v>20</v>
      </c>
      <c r="I11" s="18">
        <f t="shared" si="0"/>
        <v>25</v>
      </c>
      <c r="J11" s="18">
        <f t="shared" si="0"/>
        <v>20</v>
      </c>
      <c r="L11" s="21" t="s">
        <v>193</v>
      </c>
      <c r="M11" s="15">
        <v>1</v>
      </c>
      <c r="N11" s="15"/>
      <c r="O11" s="16">
        <f t="shared" si="2"/>
        <v>20</v>
      </c>
      <c r="P11" s="16">
        <f t="shared" si="2"/>
        <v>25</v>
      </c>
      <c r="Q11" s="16">
        <f t="shared" si="2"/>
        <v>20</v>
      </c>
    </row>
    <row r="12" spans="1:17" x14ac:dyDescent="0.3">
      <c r="A12" s="21" t="s">
        <v>194</v>
      </c>
      <c r="B12" s="20">
        <v>15</v>
      </c>
      <c r="C12" s="20">
        <v>20</v>
      </c>
      <c r="D12" s="20">
        <v>15</v>
      </c>
      <c r="F12" s="18">
        <v>1</v>
      </c>
      <c r="G12" s="17"/>
      <c r="H12" s="18">
        <f t="shared" si="1"/>
        <v>15</v>
      </c>
      <c r="I12" s="18">
        <f t="shared" si="0"/>
        <v>20</v>
      </c>
      <c r="J12" s="18">
        <f t="shared" si="0"/>
        <v>15</v>
      </c>
      <c r="L12" s="21" t="s">
        <v>194</v>
      </c>
      <c r="M12" s="15">
        <v>1</v>
      </c>
      <c r="N12" s="15"/>
      <c r="O12" s="16">
        <f t="shared" si="2"/>
        <v>15</v>
      </c>
      <c r="P12" s="16">
        <f t="shared" si="2"/>
        <v>20</v>
      </c>
      <c r="Q12" s="16">
        <f t="shared" si="2"/>
        <v>15</v>
      </c>
    </row>
    <row r="13" spans="1:17" x14ac:dyDescent="0.3">
      <c r="A13" s="21" t="s">
        <v>195</v>
      </c>
      <c r="B13" s="20">
        <v>40</v>
      </c>
      <c r="C13" s="20">
        <v>50</v>
      </c>
      <c r="D13" s="20">
        <v>45</v>
      </c>
      <c r="F13" s="18">
        <v>3</v>
      </c>
      <c r="G13" s="17"/>
      <c r="H13" s="18">
        <f t="shared" si="1"/>
        <v>120</v>
      </c>
      <c r="I13" s="18">
        <f t="shared" si="0"/>
        <v>150</v>
      </c>
      <c r="J13" s="18">
        <f t="shared" si="0"/>
        <v>135</v>
      </c>
      <c r="L13" s="21" t="s">
        <v>195</v>
      </c>
      <c r="M13" s="15">
        <v>2</v>
      </c>
      <c r="N13" s="15"/>
      <c r="O13" s="16">
        <f t="shared" si="2"/>
        <v>80</v>
      </c>
      <c r="P13" s="16">
        <f t="shared" si="2"/>
        <v>100</v>
      </c>
      <c r="Q13" s="16">
        <f t="shared" si="2"/>
        <v>90</v>
      </c>
    </row>
    <row r="15" spans="1:17" x14ac:dyDescent="0.3">
      <c r="H15" s="12" t="s">
        <v>196</v>
      </c>
      <c r="I15" s="12" t="s">
        <v>197</v>
      </c>
      <c r="J15" s="12" t="s">
        <v>198</v>
      </c>
      <c r="O15" s="12" t="s">
        <v>196</v>
      </c>
      <c r="P15" s="12" t="s">
        <v>197</v>
      </c>
      <c r="Q15" s="12" t="s">
        <v>198</v>
      </c>
    </row>
    <row r="16" spans="1:17" x14ac:dyDescent="0.3">
      <c r="G16" s="12" t="s">
        <v>200</v>
      </c>
      <c r="H16" s="13">
        <f>SUM(H3:H13)</f>
        <v>508</v>
      </c>
      <c r="I16" s="13">
        <f>SUM(I3:I13)</f>
        <v>645</v>
      </c>
      <c r="J16" s="13">
        <f>SUM(J3:J13)</f>
        <v>565</v>
      </c>
      <c r="N16" s="12" t="s">
        <v>200</v>
      </c>
      <c r="O16" s="14">
        <f>SUM(O3:O13)</f>
        <v>399</v>
      </c>
      <c r="P16" s="14">
        <f>SUM(P3:P13)</f>
        <v>500</v>
      </c>
      <c r="Q16" s="14">
        <f t="shared" ref="P16:Q16" si="3">SUM(Q3:Q13)</f>
        <v>434</v>
      </c>
    </row>
  </sheetData>
  <conditionalFormatting sqref="H16:J16">
    <cfRule type="colorScale" priority="2">
      <colorScale>
        <cfvo type="min"/>
        <cfvo type="max"/>
        <color rgb="FFFCFCFF"/>
        <color rgb="FFF8696B"/>
      </colorScale>
    </cfRule>
  </conditionalFormatting>
  <conditionalFormatting sqref="O16:Q16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82CA-6A5F-4FF1-A73A-DDC615238CB3}">
  <dimension ref="A2:C19"/>
  <sheetViews>
    <sheetView workbookViewId="0">
      <selection activeCell="O8" sqref="O8"/>
    </sheetView>
  </sheetViews>
  <sheetFormatPr defaultRowHeight="17.399999999999999" x14ac:dyDescent="0.3"/>
  <cols>
    <col min="1" max="1" width="17.6640625" style="12" bestFit="1" customWidth="1"/>
    <col min="2" max="3" width="16.21875" style="12" bestFit="1" customWidth="1"/>
    <col min="4" max="16384" width="8.88671875" style="12"/>
  </cols>
  <sheetData>
    <row r="2" spans="1:3" x14ac:dyDescent="0.3">
      <c r="A2" s="15"/>
      <c r="B2" s="15" t="s">
        <v>215</v>
      </c>
      <c r="C2" s="15" t="s">
        <v>216</v>
      </c>
    </row>
    <row r="3" spans="1:3" x14ac:dyDescent="0.3">
      <c r="A3" s="23" t="s">
        <v>202</v>
      </c>
      <c r="B3" s="15"/>
      <c r="C3" s="15"/>
    </row>
    <row r="4" spans="1:3" x14ac:dyDescent="0.3">
      <c r="A4" s="15" t="s">
        <v>203</v>
      </c>
      <c r="B4" s="24">
        <v>30000</v>
      </c>
      <c r="C4" s="24">
        <v>25000</v>
      </c>
    </row>
    <row r="5" spans="1:3" x14ac:dyDescent="0.3">
      <c r="A5" s="15" t="s">
        <v>204</v>
      </c>
      <c r="B5" s="24">
        <v>1500</v>
      </c>
      <c r="C5" s="24">
        <v>1000</v>
      </c>
    </row>
    <row r="6" spans="1:3" x14ac:dyDescent="0.3">
      <c r="A6" s="15" t="s">
        <v>205</v>
      </c>
      <c r="B6" s="24">
        <v>800</v>
      </c>
      <c r="C6" s="24">
        <v>500</v>
      </c>
    </row>
    <row r="7" spans="1:3" x14ac:dyDescent="0.3">
      <c r="A7" s="15" t="s">
        <v>206</v>
      </c>
      <c r="B7" s="24">
        <v>300</v>
      </c>
      <c r="C7" s="24">
        <v>200</v>
      </c>
    </row>
    <row r="8" spans="1:3" x14ac:dyDescent="0.3">
      <c r="A8" s="15" t="s">
        <v>207</v>
      </c>
      <c r="B8" s="24">
        <v>700</v>
      </c>
      <c r="C8" s="24">
        <v>500</v>
      </c>
    </row>
    <row r="9" spans="1:3" x14ac:dyDescent="0.3">
      <c r="A9" s="15" t="s">
        <v>208</v>
      </c>
      <c r="B9" s="24">
        <f>SUM(B4:B8)</f>
        <v>33300</v>
      </c>
      <c r="C9" s="24">
        <f>SUM(C4:C8)</f>
        <v>27200</v>
      </c>
    </row>
    <row r="10" spans="1:3" x14ac:dyDescent="0.3">
      <c r="B10" s="22"/>
      <c r="C10" s="22"/>
    </row>
    <row r="11" spans="1:3" x14ac:dyDescent="0.3">
      <c r="B11" s="22"/>
      <c r="C11" s="22"/>
    </row>
    <row r="12" spans="1:3" x14ac:dyDescent="0.3">
      <c r="A12" s="25" t="s">
        <v>209</v>
      </c>
      <c r="B12" s="26"/>
      <c r="C12" s="26"/>
    </row>
    <row r="13" spans="1:3" x14ac:dyDescent="0.3">
      <c r="A13" s="27" t="s">
        <v>210</v>
      </c>
      <c r="B13" s="26">
        <v>1000</v>
      </c>
      <c r="C13" s="26">
        <v>700</v>
      </c>
    </row>
    <row r="14" spans="1:3" x14ac:dyDescent="0.3">
      <c r="A14" s="27" t="s">
        <v>211</v>
      </c>
      <c r="B14" s="26">
        <v>2500</v>
      </c>
      <c r="C14" s="26">
        <v>1800</v>
      </c>
    </row>
    <row r="15" spans="1:3" x14ac:dyDescent="0.3">
      <c r="A15" s="27" t="s">
        <v>212</v>
      </c>
      <c r="B15" s="26">
        <v>1000</v>
      </c>
      <c r="C15" s="26">
        <v>1500</v>
      </c>
    </row>
    <row r="16" spans="1:3" x14ac:dyDescent="0.3">
      <c r="A16" s="27" t="s">
        <v>213</v>
      </c>
      <c r="B16" s="26">
        <f>SUM(B13:B15)</f>
        <v>4500</v>
      </c>
      <c r="C16" s="26">
        <f>SUM(C13:C15)</f>
        <v>4000</v>
      </c>
    </row>
    <row r="17" spans="1:3" x14ac:dyDescent="0.3">
      <c r="A17" s="27" t="s">
        <v>214</v>
      </c>
      <c r="B17" s="26">
        <f>B16*2</f>
        <v>9000</v>
      </c>
      <c r="C17" s="26">
        <f>C16*2</f>
        <v>8000</v>
      </c>
    </row>
    <row r="18" spans="1:3" x14ac:dyDescent="0.3">
      <c r="B18" s="12" t="s">
        <v>215</v>
      </c>
      <c r="C18" s="12" t="s">
        <v>216</v>
      </c>
    </row>
    <row r="19" spans="1:3" x14ac:dyDescent="0.3">
      <c r="A19" s="12" t="s">
        <v>217</v>
      </c>
      <c r="B19" s="22">
        <f>B17+B9</f>
        <v>42300</v>
      </c>
      <c r="C19" s="22">
        <f>C9+C17</f>
        <v>35200</v>
      </c>
    </row>
  </sheetData>
  <conditionalFormatting sqref="B18:C1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D8D6-5022-42A1-8425-496BAC8479F2}">
  <dimension ref="A2:O24"/>
  <sheetViews>
    <sheetView tabSelected="1" topLeftCell="A12" zoomScale="73" workbookViewId="0">
      <selection activeCell="E6" sqref="E6"/>
    </sheetView>
  </sheetViews>
  <sheetFormatPr defaultRowHeight="17.399999999999999" x14ac:dyDescent="0.3"/>
  <cols>
    <col min="1" max="1" width="25.77734375" style="12" customWidth="1"/>
    <col min="2" max="2" width="16.21875" style="12" customWidth="1"/>
    <col min="3" max="3" width="22.88671875" style="12" customWidth="1"/>
    <col min="4" max="4" width="22" style="12" customWidth="1"/>
    <col min="5" max="5" width="21.44140625" style="12" customWidth="1"/>
    <col min="6" max="6" width="16.109375" style="12" customWidth="1"/>
    <col min="7" max="8" width="8.88671875" style="12"/>
    <col min="9" max="9" width="26.21875" style="12" bestFit="1" customWidth="1"/>
    <col min="10" max="14" width="16.21875" style="12" bestFit="1" customWidth="1"/>
    <col min="15" max="16384" width="8.88671875" style="12"/>
  </cols>
  <sheetData>
    <row r="2" spans="1:14" x14ac:dyDescent="0.3">
      <c r="A2" s="36" t="s">
        <v>199</v>
      </c>
      <c r="B2" s="28"/>
      <c r="C2" s="28"/>
      <c r="D2" s="28"/>
      <c r="E2" s="28"/>
      <c r="F2" s="28"/>
      <c r="I2" s="37" t="s">
        <v>242</v>
      </c>
    </row>
    <row r="3" spans="1:14" ht="19.2" customHeight="1" x14ac:dyDescent="0.3">
      <c r="A3" s="29" t="s">
        <v>225</v>
      </c>
      <c r="B3" s="29" t="s">
        <v>218</v>
      </c>
      <c r="C3" s="29" t="s">
        <v>219</v>
      </c>
      <c r="D3" s="29" t="s">
        <v>220</v>
      </c>
      <c r="E3" s="29" t="s">
        <v>221</v>
      </c>
      <c r="F3" s="29" t="s">
        <v>222</v>
      </c>
      <c r="I3" s="29" t="s">
        <v>225</v>
      </c>
      <c r="J3" s="29" t="s">
        <v>218</v>
      </c>
      <c r="K3" s="29" t="s">
        <v>219</v>
      </c>
      <c r="L3" s="29" t="s">
        <v>220</v>
      </c>
      <c r="M3" s="29" t="s">
        <v>221</v>
      </c>
      <c r="N3" s="29" t="s">
        <v>222</v>
      </c>
    </row>
    <row r="4" spans="1:14" ht="18.600000000000001" customHeight="1" x14ac:dyDescent="0.3">
      <c r="A4" s="30" t="s">
        <v>226</v>
      </c>
      <c r="B4" s="30"/>
      <c r="C4" s="30"/>
      <c r="D4" s="30"/>
      <c r="E4" s="30"/>
      <c r="F4" s="30"/>
      <c r="I4" s="30" t="s">
        <v>226</v>
      </c>
      <c r="J4" s="30"/>
      <c r="K4" s="30"/>
      <c r="L4" s="30"/>
      <c r="M4" s="30"/>
      <c r="N4" s="30"/>
    </row>
    <row r="5" spans="1:14" ht="34.799999999999997" x14ac:dyDescent="0.3">
      <c r="A5" s="30" t="s">
        <v>227</v>
      </c>
      <c r="B5" s="31">
        <v>5000</v>
      </c>
      <c r="C5" s="31">
        <v>3000</v>
      </c>
      <c r="D5" s="31">
        <v>3500</v>
      </c>
      <c r="E5" s="31">
        <v>6500</v>
      </c>
      <c r="F5" s="31">
        <v>7000</v>
      </c>
      <c r="I5" s="30" t="s">
        <v>227</v>
      </c>
      <c r="J5" s="31">
        <v>5000</v>
      </c>
      <c r="K5" s="31">
        <v>3000</v>
      </c>
      <c r="L5" s="31">
        <v>3500</v>
      </c>
      <c r="M5" s="31">
        <v>6500</v>
      </c>
      <c r="N5" s="31">
        <v>7000</v>
      </c>
    </row>
    <row r="6" spans="1:14" ht="34.799999999999997" x14ac:dyDescent="0.3">
      <c r="A6" s="30" t="s">
        <v>228</v>
      </c>
      <c r="B6" s="31">
        <v>300</v>
      </c>
      <c r="C6" s="31">
        <v>200</v>
      </c>
      <c r="D6" s="31">
        <v>500</v>
      </c>
      <c r="E6" s="31">
        <v>200</v>
      </c>
      <c r="F6" s="31">
        <v>400</v>
      </c>
      <c r="I6" s="30" t="s">
        <v>228</v>
      </c>
      <c r="J6" s="31">
        <v>300</v>
      </c>
      <c r="K6" s="31">
        <v>200</v>
      </c>
      <c r="L6" s="31">
        <v>500</v>
      </c>
      <c r="M6" s="31">
        <v>200</v>
      </c>
      <c r="N6" s="31">
        <v>400</v>
      </c>
    </row>
    <row r="7" spans="1:14" x14ac:dyDescent="0.3">
      <c r="A7" s="30" t="s">
        <v>223</v>
      </c>
      <c r="B7" s="31">
        <v>200</v>
      </c>
      <c r="C7" s="31">
        <v>150</v>
      </c>
      <c r="D7" s="31">
        <v>100</v>
      </c>
      <c r="E7" s="31">
        <v>150</v>
      </c>
      <c r="F7" s="31">
        <v>100</v>
      </c>
      <c r="I7" s="30" t="s">
        <v>223</v>
      </c>
      <c r="J7" s="31">
        <v>200</v>
      </c>
      <c r="K7" s="31">
        <v>150</v>
      </c>
      <c r="L7" s="31">
        <v>100</v>
      </c>
      <c r="M7" s="31">
        <v>150</v>
      </c>
      <c r="N7" s="31">
        <v>100</v>
      </c>
    </row>
    <row r="8" spans="1:14" ht="34.799999999999997" x14ac:dyDescent="0.3">
      <c r="A8" s="30" t="s">
        <v>229</v>
      </c>
      <c r="B8" s="31">
        <v>250</v>
      </c>
      <c r="C8" s="31">
        <v>100</v>
      </c>
      <c r="D8" s="31">
        <v>200</v>
      </c>
      <c r="E8" s="31">
        <v>300</v>
      </c>
      <c r="F8" s="31">
        <v>250</v>
      </c>
      <c r="I8" s="30" t="s">
        <v>229</v>
      </c>
      <c r="J8" s="31">
        <v>250</v>
      </c>
      <c r="K8" s="31">
        <v>100</v>
      </c>
      <c r="L8" s="31">
        <v>200</v>
      </c>
      <c r="M8" s="31">
        <v>300</v>
      </c>
      <c r="N8" s="31">
        <v>250</v>
      </c>
    </row>
    <row r="9" spans="1:14" ht="34.799999999999997" x14ac:dyDescent="0.3">
      <c r="A9" s="30" t="s">
        <v>224</v>
      </c>
      <c r="B9" s="31">
        <v>500</v>
      </c>
      <c r="C9" s="31">
        <v>300</v>
      </c>
      <c r="D9" s="31">
        <v>600</v>
      </c>
      <c r="E9" s="31">
        <v>1000</v>
      </c>
      <c r="F9" s="31">
        <v>800</v>
      </c>
      <c r="I9" s="30" t="s">
        <v>224</v>
      </c>
      <c r="J9" s="31">
        <v>500</v>
      </c>
      <c r="K9" s="31">
        <v>300</v>
      </c>
      <c r="L9" s="31">
        <v>600</v>
      </c>
      <c r="M9" s="31">
        <v>1000</v>
      </c>
      <c r="N9" s="31">
        <v>800</v>
      </c>
    </row>
    <row r="10" spans="1:14" ht="52.2" x14ac:dyDescent="0.3">
      <c r="A10" s="30" t="s">
        <v>230</v>
      </c>
      <c r="B10" s="31">
        <v>300</v>
      </c>
      <c r="C10" s="31">
        <v>200</v>
      </c>
      <c r="D10" s="31">
        <v>400</v>
      </c>
      <c r="E10" s="31">
        <v>1500</v>
      </c>
      <c r="F10" s="31">
        <v>1200</v>
      </c>
      <c r="I10" s="30" t="s">
        <v>230</v>
      </c>
      <c r="J10" s="31">
        <v>300</v>
      </c>
      <c r="K10" s="31">
        <v>200</v>
      </c>
      <c r="L10" s="31">
        <v>400</v>
      </c>
      <c r="M10" s="31">
        <v>1500</v>
      </c>
      <c r="N10" s="31">
        <v>1200</v>
      </c>
    </row>
    <row r="11" spans="1:14" ht="34.799999999999997" x14ac:dyDescent="0.3">
      <c r="A11" s="30" t="s">
        <v>231</v>
      </c>
      <c r="B11" s="31">
        <v>500</v>
      </c>
      <c r="C11" s="31">
        <v>400</v>
      </c>
      <c r="D11" s="31">
        <v>600</v>
      </c>
      <c r="E11" s="31">
        <v>800</v>
      </c>
      <c r="F11" s="31">
        <v>700</v>
      </c>
      <c r="I11" s="30" t="s">
        <v>231</v>
      </c>
      <c r="J11" s="31">
        <v>500</v>
      </c>
      <c r="K11" s="31">
        <v>400</v>
      </c>
      <c r="L11" s="31">
        <v>600</v>
      </c>
      <c r="M11" s="31">
        <v>800</v>
      </c>
      <c r="N11" s="31">
        <v>700</v>
      </c>
    </row>
    <row r="12" spans="1:14" ht="34.799999999999997" x14ac:dyDescent="0.3">
      <c r="A12" s="30" t="s">
        <v>232</v>
      </c>
      <c r="B12" s="31">
        <v>400</v>
      </c>
      <c r="C12" s="31">
        <v>300</v>
      </c>
      <c r="D12" s="31">
        <v>300</v>
      </c>
      <c r="E12" s="31">
        <v>1000</v>
      </c>
      <c r="F12" s="31">
        <v>800</v>
      </c>
      <c r="I12" s="30" t="s">
        <v>232</v>
      </c>
      <c r="J12" s="31">
        <v>400</v>
      </c>
      <c r="K12" s="31">
        <v>300</v>
      </c>
      <c r="L12" s="31">
        <v>300</v>
      </c>
      <c r="M12" s="31">
        <v>1000</v>
      </c>
      <c r="N12" s="31">
        <v>800</v>
      </c>
    </row>
    <row r="13" spans="1:14" ht="34.799999999999997" x14ac:dyDescent="0.3">
      <c r="A13" s="30" t="s">
        <v>233</v>
      </c>
      <c r="B13" s="31">
        <v>0</v>
      </c>
      <c r="C13" s="31">
        <v>0</v>
      </c>
      <c r="D13" s="31">
        <v>0</v>
      </c>
      <c r="E13" s="31">
        <v>800</v>
      </c>
      <c r="F13" s="31">
        <v>700</v>
      </c>
      <c r="I13" s="30" t="s">
        <v>233</v>
      </c>
      <c r="J13" s="31">
        <v>0</v>
      </c>
      <c r="K13" s="31">
        <v>0</v>
      </c>
      <c r="L13" s="31">
        <v>0</v>
      </c>
      <c r="M13" s="31">
        <v>800</v>
      </c>
      <c r="N13" s="31">
        <v>700</v>
      </c>
    </row>
    <row r="14" spans="1:14" ht="69.599999999999994" x14ac:dyDescent="0.3">
      <c r="A14" s="29" t="s">
        <v>234</v>
      </c>
      <c r="B14" s="32">
        <f>SUM(B5:B13)</f>
        <v>7450</v>
      </c>
      <c r="C14" s="32">
        <f t="shared" ref="C14:F14" si="0">SUM(C5:C13)</f>
        <v>4650</v>
      </c>
      <c r="D14" s="32">
        <f t="shared" si="0"/>
        <v>6200</v>
      </c>
      <c r="E14" s="32">
        <f t="shared" si="0"/>
        <v>12250</v>
      </c>
      <c r="F14" s="32">
        <f t="shared" si="0"/>
        <v>11950</v>
      </c>
      <c r="I14" s="29" t="s">
        <v>234</v>
      </c>
      <c r="J14" s="32">
        <f>SUM(J5:J13)</f>
        <v>7450</v>
      </c>
      <c r="K14" s="32">
        <f t="shared" ref="K14" si="1">SUM(K5:K13)</f>
        <v>4650</v>
      </c>
      <c r="L14" s="32">
        <f t="shared" ref="L14" si="2">SUM(L5:L13)</f>
        <v>6200</v>
      </c>
      <c r="M14" s="32">
        <f t="shared" ref="M14" si="3">SUM(M5:M13)</f>
        <v>12250</v>
      </c>
      <c r="N14" s="32">
        <f t="shared" ref="N14" si="4">SUM(N5:N13)</f>
        <v>11950</v>
      </c>
    </row>
    <row r="15" spans="1:14" ht="34.799999999999997" x14ac:dyDescent="0.3">
      <c r="A15" s="30" t="s">
        <v>235</v>
      </c>
      <c r="B15" s="30">
        <v>2</v>
      </c>
      <c r="C15" s="30">
        <v>2</v>
      </c>
      <c r="D15" s="30">
        <v>2</v>
      </c>
      <c r="E15" s="30">
        <v>2</v>
      </c>
      <c r="F15" s="30">
        <v>2</v>
      </c>
      <c r="I15" s="30" t="s">
        <v>235</v>
      </c>
      <c r="J15" s="30">
        <v>4</v>
      </c>
      <c r="K15" s="30">
        <v>4</v>
      </c>
      <c r="L15" s="30">
        <v>4</v>
      </c>
      <c r="M15" s="30">
        <v>4</v>
      </c>
      <c r="N15" s="30">
        <v>4</v>
      </c>
    </row>
    <row r="16" spans="1:14" ht="34.799999999999997" x14ac:dyDescent="0.3">
      <c r="A16" s="33" t="s">
        <v>236</v>
      </c>
      <c r="B16" s="32">
        <f>B15*B14</f>
        <v>14900</v>
      </c>
      <c r="C16" s="32">
        <f t="shared" ref="C16:F16" si="5">C15*C14</f>
        <v>9300</v>
      </c>
      <c r="D16" s="32">
        <f t="shared" si="5"/>
        <v>12400</v>
      </c>
      <c r="E16" s="32">
        <f t="shared" si="5"/>
        <v>24500</v>
      </c>
      <c r="F16" s="32">
        <f t="shared" si="5"/>
        <v>23900</v>
      </c>
      <c r="I16" s="33" t="s">
        <v>236</v>
      </c>
      <c r="J16" s="32">
        <f>J15*J14</f>
        <v>29800</v>
      </c>
      <c r="K16" s="32">
        <f t="shared" ref="K16" si="6">K15*K14</f>
        <v>18600</v>
      </c>
      <c r="L16" s="32">
        <f t="shared" ref="L16" si="7">L15*L14</f>
        <v>24800</v>
      </c>
      <c r="M16" s="32">
        <f t="shared" ref="M16" si="8">M15*M14</f>
        <v>49000</v>
      </c>
      <c r="N16" s="32">
        <f t="shared" ref="N16" si="9">N15*N14</f>
        <v>47800</v>
      </c>
    </row>
    <row r="17" spans="1:15" x14ac:dyDescent="0.3">
      <c r="A17" s="30"/>
      <c r="B17" s="30"/>
      <c r="C17" s="30"/>
      <c r="D17" s="30"/>
      <c r="E17" s="30"/>
      <c r="F17" s="30"/>
      <c r="I17" s="30"/>
      <c r="J17" s="30"/>
      <c r="K17" s="30"/>
      <c r="L17" s="30"/>
      <c r="M17" s="30"/>
      <c r="N17" s="30"/>
    </row>
    <row r="18" spans="1:15" ht="34.799999999999997" x14ac:dyDescent="0.3">
      <c r="A18" s="29" t="s">
        <v>237</v>
      </c>
      <c r="B18" s="30"/>
      <c r="C18" s="30"/>
      <c r="D18" s="30"/>
      <c r="E18" s="30"/>
      <c r="F18" s="30"/>
      <c r="I18" s="29" t="s">
        <v>237</v>
      </c>
      <c r="J18" s="30"/>
      <c r="K18" s="30"/>
      <c r="L18" s="30"/>
      <c r="M18" s="30"/>
      <c r="N18" s="30"/>
    </row>
    <row r="19" spans="1:15" ht="34.799999999999997" x14ac:dyDescent="0.3">
      <c r="A19" s="30" t="s">
        <v>238</v>
      </c>
      <c r="B19" s="31">
        <v>3000</v>
      </c>
      <c r="C19" s="31">
        <v>2500</v>
      </c>
      <c r="D19" s="31">
        <v>2500</v>
      </c>
      <c r="E19" s="31">
        <v>4000</v>
      </c>
      <c r="F19" s="31">
        <v>3500</v>
      </c>
      <c r="I19" s="30" t="s">
        <v>238</v>
      </c>
      <c r="J19" s="31">
        <v>3000</v>
      </c>
      <c r="K19" s="31">
        <v>2500</v>
      </c>
      <c r="L19" s="31">
        <v>2500</v>
      </c>
      <c r="M19" s="31">
        <v>4000</v>
      </c>
      <c r="N19" s="31">
        <v>3500</v>
      </c>
    </row>
    <row r="20" spans="1:15" ht="34.799999999999997" x14ac:dyDescent="0.3">
      <c r="A20" s="30" t="s">
        <v>239</v>
      </c>
      <c r="B20" s="30">
        <v>5</v>
      </c>
      <c r="C20" s="30">
        <v>5</v>
      </c>
      <c r="D20" s="30">
        <v>5</v>
      </c>
      <c r="E20" s="30">
        <v>5</v>
      </c>
      <c r="F20" s="30">
        <v>5</v>
      </c>
      <c r="G20" s="30"/>
      <c r="I20" s="30" t="s">
        <v>239</v>
      </c>
      <c r="J20" s="30">
        <v>5</v>
      </c>
      <c r="K20" s="30">
        <v>5</v>
      </c>
      <c r="L20" s="30">
        <v>5</v>
      </c>
      <c r="M20" s="30">
        <v>5</v>
      </c>
      <c r="N20" s="30">
        <v>5</v>
      </c>
      <c r="O20" s="30"/>
    </row>
    <row r="21" spans="1:15" x14ac:dyDescent="0.3">
      <c r="A21" s="33" t="s">
        <v>240</v>
      </c>
      <c r="B21" s="32">
        <f>B19*B20</f>
        <v>15000</v>
      </c>
      <c r="C21" s="32">
        <f>C19*C20</f>
        <v>12500</v>
      </c>
      <c r="D21" s="32">
        <f>D19*D20</f>
        <v>12500</v>
      </c>
      <c r="E21" s="32">
        <f>E19*E20</f>
        <v>20000</v>
      </c>
      <c r="F21" s="32">
        <f>F19*F20</f>
        <v>17500</v>
      </c>
      <c r="I21" s="33" t="s">
        <v>240</v>
      </c>
      <c r="J21" s="32">
        <f>J19*J20</f>
        <v>15000</v>
      </c>
      <c r="K21" s="32">
        <f>K19*K20</f>
        <v>12500</v>
      </c>
      <c r="L21" s="32">
        <f>L19*L20</f>
        <v>12500</v>
      </c>
      <c r="M21" s="32">
        <f>M19*M20</f>
        <v>20000</v>
      </c>
      <c r="N21" s="32">
        <f>N19*N20</f>
        <v>17500</v>
      </c>
    </row>
    <row r="22" spans="1:15" ht="52.2" x14ac:dyDescent="0.3">
      <c r="A22" s="33" t="s">
        <v>241</v>
      </c>
      <c r="B22" s="32">
        <v>5000</v>
      </c>
      <c r="C22" s="32">
        <v>4000</v>
      </c>
      <c r="D22" s="32">
        <v>3500</v>
      </c>
      <c r="E22" s="32">
        <v>3000</v>
      </c>
      <c r="F22" s="32">
        <v>4000</v>
      </c>
      <c r="I22" s="33" t="s">
        <v>241</v>
      </c>
      <c r="J22" s="32">
        <v>5000</v>
      </c>
      <c r="K22" s="32">
        <v>4000</v>
      </c>
      <c r="L22" s="32">
        <v>3500</v>
      </c>
      <c r="M22" s="32">
        <v>3000</v>
      </c>
      <c r="N22" s="32">
        <v>4000</v>
      </c>
    </row>
    <row r="23" spans="1:15" ht="34.799999999999997" x14ac:dyDescent="0.3">
      <c r="A23" s="34"/>
      <c r="B23" s="34" t="s">
        <v>218</v>
      </c>
      <c r="C23" s="34" t="s">
        <v>219</v>
      </c>
      <c r="D23" s="34" t="s">
        <v>220</v>
      </c>
      <c r="E23" s="34" t="s">
        <v>221</v>
      </c>
      <c r="F23" s="34" t="s">
        <v>222</v>
      </c>
      <c r="I23" s="34"/>
      <c r="J23" s="34" t="s">
        <v>218</v>
      </c>
      <c r="K23" s="34" t="s">
        <v>219</v>
      </c>
      <c r="L23" s="34" t="s">
        <v>220</v>
      </c>
      <c r="M23" s="34" t="s">
        <v>221</v>
      </c>
      <c r="N23" s="34" t="s">
        <v>222</v>
      </c>
    </row>
    <row r="24" spans="1:15" x14ac:dyDescent="0.3">
      <c r="A24" s="34" t="s">
        <v>200</v>
      </c>
      <c r="B24" s="35">
        <f>B21+B16+B22</f>
        <v>34900</v>
      </c>
      <c r="C24" s="35">
        <f>C21+C16+C22</f>
        <v>25800</v>
      </c>
      <c r="D24" s="35">
        <f>D21+D16+D22</f>
        <v>28400</v>
      </c>
      <c r="E24" s="35">
        <f>E21+E16+E22</f>
        <v>47500</v>
      </c>
      <c r="F24" s="35">
        <f>F21+F16+F22</f>
        <v>45400</v>
      </c>
      <c r="I24" s="34" t="s">
        <v>200</v>
      </c>
      <c r="J24" s="35">
        <f>J21+J16+J22</f>
        <v>49800</v>
      </c>
      <c r="K24" s="35">
        <f>K21+K16+K22</f>
        <v>35100</v>
      </c>
      <c r="L24" s="35">
        <f>L21+L16+L22</f>
        <v>40800</v>
      </c>
      <c r="M24" s="35">
        <f>M21+M16+M22</f>
        <v>72000</v>
      </c>
      <c r="N24" s="35">
        <f>N21+N16+N22</f>
        <v>69300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9EAD-2306-4376-A6CD-FA4597E5491C}">
  <dimension ref="A1:P85"/>
  <sheetViews>
    <sheetView zoomScale="78" workbookViewId="0">
      <selection sqref="A1:O71"/>
    </sheetView>
  </sheetViews>
  <sheetFormatPr defaultRowHeight="15.6" x14ac:dyDescent="0.3"/>
  <cols>
    <col min="1" max="1" width="13.88671875" style="2" customWidth="1"/>
    <col min="2" max="3" width="18" style="2" customWidth="1"/>
    <col min="4" max="4" width="30.6640625" style="2" customWidth="1"/>
    <col min="5" max="5" width="8.88671875" style="2"/>
    <col min="6" max="6" width="24.44140625" style="2" customWidth="1"/>
    <col min="7" max="7" width="15.109375" style="2" customWidth="1"/>
    <col min="8" max="8" width="8.88671875" style="2"/>
    <col min="9" max="9" width="18.21875" style="2" customWidth="1"/>
    <col min="10" max="10" width="18" style="2" customWidth="1"/>
    <col min="11" max="11" width="8.88671875" style="2"/>
    <col min="12" max="12" width="16.6640625" style="2" customWidth="1"/>
    <col min="13" max="13" width="22.109375" style="2" customWidth="1"/>
    <col min="14" max="14" width="18.21875" style="2" customWidth="1"/>
    <col min="15" max="15" width="23.109375" style="2" customWidth="1"/>
    <col min="16" max="16384" width="8.88671875" style="2"/>
  </cols>
  <sheetData>
    <row r="1" spans="1:16" ht="30.6" x14ac:dyDescent="0.3">
      <c r="A1" s="3" t="s">
        <v>0</v>
      </c>
      <c r="B1" s="3" t="s">
        <v>1</v>
      </c>
      <c r="C1" s="3" t="s">
        <v>170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158</v>
      </c>
      <c r="O1" s="3" t="s">
        <v>171</v>
      </c>
      <c r="P1" s="1"/>
    </row>
    <row r="2" spans="1:16" x14ac:dyDescent="0.3">
      <c r="A2" s="4" t="s">
        <v>12</v>
      </c>
      <c r="B2" s="4" t="s">
        <v>55</v>
      </c>
      <c r="C2" s="4" t="str">
        <f>VLOOKUP(B2,B$74:D$85,3)</f>
        <v>AUD</v>
      </c>
      <c r="D2" s="4" t="s">
        <v>56</v>
      </c>
      <c r="E2" s="4" t="s">
        <v>68</v>
      </c>
      <c r="F2" s="4" t="s">
        <v>69</v>
      </c>
      <c r="G2" s="4">
        <v>2014</v>
      </c>
      <c r="H2" s="4">
        <v>12</v>
      </c>
      <c r="I2" s="5">
        <v>196757</v>
      </c>
      <c r="J2" s="5">
        <f>I2/H2</f>
        <v>16396.416666666668</v>
      </c>
      <c r="K2" s="4" t="s">
        <v>43</v>
      </c>
      <c r="L2" s="4" t="s">
        <v>53</v>
      </c>
      <c r="M2" s="5">
        <v>75000</v>
      </c>
      <c r="N2" s="4" t="str">
        <f>IF(I2&lt;=M2,"Yes","No")</f>
        <v>No</v>
      </c>
      <c r="O2" s="4" t="str">
        <f>CONCATENATE(C2,UPPER(E2),UPPER(LEFT(K2,3)),RIGHT(A2,3))</f>
        <v>AUDCAMRYSIL001</v>
      </c>
    </row>
    <row r="3" spans="1:16" x14ac:dyDescent="0.3">
      <c r="A3" s="4" t="s">
        <v>19</v>
      </c>
      <c r="B3" s="4" t="s">
        <v>55</v>
      </c>
      <c r="C3" s="4" t="str">
        <f>VLOOKUP(B3,B$74:D$85,3)</f>
        <v>AUD</v>
      </c>
      <c r="D3" s="4" t="s">
        <v>56</v>
      </c>
      <c r="E3" s="4" t="s">
        <v>35</v>
      </c>
      <c r="F3" s="4" t="s">
        <v>36</v>
      </c>
      <c r="G3" s="4">
        <v>2014</v>
      </c>
      <c r="H3" s="4">
        <v>12</v>
      </c>
      <c r="I3" s="5">
        <v>189968</v>
      </c>
      <c r="J3" s="5">
        <f>I3/H3</f>
        <v>15830.666666666666</v>
      </c>
      <c r="K3" s="4" t="s">
        <v>37</v>
      </c>
      <c r="L3" s="4" t="s">
        <v>18</v>
      </c>
      <c r="M3" s="5">
        <v>100000</v>
      </c>
      <c r="N3" s="4" t="str">
        <f>IF(I3&lt;=M3,"Yes","No")</f>
        <v>No</v>
      </c>
      <c r="O3" s="4" t="str">
        <f>CONCATENATE(C3,UPPER(E3),UPPER(LEFT(K3,3)),RIGHT(A3,3))</f>
        <v>AUD3 SERIESBRO002</v>
      </c>
    </row>
    <row r="4" spans="1:16" x14ac:dyDescent="0.3">
      <c r="A4" s="4" t="s">
        <v>26</v>
      </c>
      <c r="B4" s="4" t="s">
        <v>55</v>
      </c>
      <c r="C4" s="4" t="str">
        <f>VLOOKUP(B4,B$74:D$85,3)</f>
        <v>AUD</v>
      </c>
      <c r="D4" s="4" t="s">
        <v>56</v>
      </c>
      <c r="E4" s="4" t="s">
        <v>68</v>
      </c>
      <c r="F4" s="4" t="s">
        <v>69</v>
      </c>
      <c r="G4" s="4">
        <v>2015</v>
      </c>
      <c r="H4" s="4">
        <v>11</v>
      </c>
      <c r="I4" s="5">
        <v>189281</v>
      </c>
      <c r="J4" s="5">
        <f>I4/H4</f>
        <v>17207.363636363636</v>
      </c>
      <c r="K4" s="4" t="s">
        <v>95</v>
      </c>
      <c r="L4" s="4" t="s">
        <v>137</v>
      </c>
      <c r="M4" s="5">
        <v>50000</v>
      </c>
      <c r="N4" s="4" t="str">
        <f>IF(I4&lt;=M4,"Yes","No")</f>
        <v>No</v>
      </c>
      <c r="O4" s="4" t="str">
        <f>CONCATENATE(C4,UPPER(E4),UPPER(LEFT(K4,3)),RIGHT(A4,3))</f>
        <v>AUDCAMRYWHI003</v>
      </c>
    </row>
    <row r="5" spans="1:16" x14ac:dyDescent="0.3">
      <c r="A5" s="4" t="s">
        <v>32</v>
      </c>
      <c r="B5" s="4" t="s">
        <v>55</v>
      </c>
      <c r="C5" s="4" t="str">
        <f>VLOOKUP(B5,B$74:D$85,3)</f>
        <v>AUD</v>
      </c>
      <c r="D5" s="4" t="s">
        <v>56</v>
      </c>
      <c r="E5" s="4" t="s">
        <v>29</v>
      </c>
      <c r="F5" s="4" t="s">
        <v>30</v>
      </c>
      <c r="G5" s="4">
        <v>2015</v>
      </c>
      <c r="H5" s="4">
        <v>11</v>
      </c>
      <c r="I5" s="5">
        <v>176179</v>
      </c>
      <c r="J5" s="5">
        <f>I5/H5</f>
        <v>16016.272727272728</v>
      </c>
      <c r="K5" s="4" t="s">
        <v>95</v>
      </c>
      <c r="L5" s="4" t="s">
        <v>78</v>
      </c>
      <c r="M5" s="5">
        <v>75000</v>
      </c>
      <c r="N5" s="4" t="str">
        <f>IF(I5&lt;=M5,"Yes","No")</f>
        <v>No</v>
      </c>
      <c r="O5" s="4" t="str">
        <f>CONCATENATE(C5,UPPER(E5),UPPER(LEFT(K5,3)),RIGHT(A5,3))</f>
        <v>AUDTHARWHI004</v>
      </c>
    </row>
    <row r="6" spans="1:16" x14ac:dyDescent="0.3">
      <c r="A6" s="4" t="s">
        <v>38</v>
      </c>
      <c r="B6" s="4" t="s">
        <v>55</v>
      </c>
      <c r="C6" s="4" t="str">
        <f>VLOOKUP(B6,B$74:D$85,3)</f>
        <v>AUD</v>
      </c>
      <c r="D6" s="4" t="s">
        <v>56</v>
      </c>
      <c r="E6" s="4" t="s">
        <v>48</v>
      </c>
      <c r="F6" s="4" t="s">
        <v>49</v>
      </c>
      <c r="G6" s="4">
        <v>2016</v>
      </c>
      <c r="H6" s="4">
        <v>10</v>
      </c>
      <c r="I6" s="5">
        <v>171525</v>
      </c>
      <c r="J6" s="5">
        <f>I6/H6</f>
        <v>17152.5</v>
      </c>
      <c r="K6" s="4" t="s">
        <v>90</v>
      </c>
      <c r="L6" s="4" t="s">
        <v>59</v>
      </c>
      <c r="M6" s="5">
        <v>40000</v>
      </c>
      <c r="N6" s="4" t="str">
        <f>IF(I6&lt;=M6,"Yes","No")</f>
        <v>No</v>
      </c>
      <c r="O6" s="4" t="str">
        <f>CONCATENATE(C6,UPPER(E6),UPPER(LEFT(K6,3)),RIGHT(A6,3))</f>
        <v>AUDNEXONGRE005</v>
      </c>
    </row>
    <row r="7" spans="1:16" x14ac:dyDescent="0.3">
      <c r="A7" s="4" t="s">
        <v>45</v>
      </c>
      <c r="B7" s="4" t="s">
        <v>55</v>
      </c>
      <c r="C7" s="4" t="str">
        <f>VLOOKUP(B7,B$74:D$85,3)</f>
        <v>AUD</v>
      </c>
      <c r="D7" s="4" t="s">
        <v>56</v>
      </c>
      <c r="E7" s="4" t="s">
        <v>15</v>
      </c>
      <c r="F7" s="4" t="s">
        <v>16</v>
      </c>
      <c r="G7" s="4">
        <v>2016</v>
      </c>
      <c r="H7" s="4">
        <v>10</v>
      </c>
      <c r="I7" s="5">
        <v>158483</v>
      </c>
      <c r="J7" s="5">
        <f>I7/H7</f>
        <v>15848.3</v>
      </c>
      <c r="K7" s="4" t="s">
        <v>43</v>
      </c>
      <c r="L7" s="4" t="s">
        <v>80</v>
      </c>
      <c r="M7" s="5">
        <v>40000</v>
      </c>
      <c r="N7" s="4" t="str">
        <f>IF(I7&lt;=M7,"Yes","No")</f>
        <v>No</v>
      </c>
      <c r="O7" s="4" t="str">
        <f>CONCATENATE(C7,UPPER(E7),UPPER(LEFT(K7,3)),RIGHT(A7,3))</f>
        <v>AUDC-CLASSSIL006</v>
      </c>
    </row>
    <row r="8" spans="1:16" x14ac:dyDescent="0.3">
      <c r="A8" s="4" t="s">
        <v>51</v>
      </c>
      <c r="B8" s="4" t="s">
        <v>33</v>
      </c>
      <c r="C8" s="4" t="str">
        <f>VLOOKUP(B8,B$74:D$85,3)</f>
        <v>BMW</v>
      </c>
      <c r="D8" s="4" t="s">
        <v>34</v>
      </c>
      <c r="E8" s="4" t="s">
        <v>15</v>
      </c>
      <c r="F8" s="4" t="s">
        <v>16</v>
      </c>
      <c r="G8" s="4">
        <v>2017</v>
      </c>
      <c r="H8" s="4">
        <v>9</v>
      </c>
      <c r="I8" s="5">
        <v>157685</v>
      </c>
      <c r="J8" s="5">
        <f>I8/H8</f>
        <v>17520.555555555555</v>
      </c>
      <c r="K8" s="4" t="s">
        <v>37</v>
      </c>
      <c r="L8" s="4" t="s">
        <v>78</v>
      </c>
      <c r="M8" s="5">
        <v>50000</v>
      </c>
      <c r="N8" s="4" t="str">
        <f>IF(I8&lt;=M8,"Yes","No")</f>
        <v>No</v>
      </c>
      <c r="O8" s="4" t="str">
        <f>CONCATENATE(C8,UPPER(E8),UPPER(LEFT(K8,3)),RIGHT(A8,3))</f>
        <v>BMWC-CLASSBRO007</v>
      </c>
    </row>
    <row r="9" spans="1:16" x14ac:dyDescent="0.3">
      <c r="A9" s="4" t="s">
        <v>54</v>
      </c>
      <c r="B9" s="4" t="s">
        <v>33</v>
      </c>
      <c r="C9" s="4" t="str">
        <f>VLOOKUP(B9,B$74:D$85,3)</f>
        <v>BMW</v>
      </c>
      <c r="D9" s="4" t="s">
        <v>34</v>
      </c>
      <c r="E9" s="4" t="s">
        <v>99</v>
      </c>
      <c r="F9" s="4" t="s">
        <v>100</v>
      </c>
      <c r="G9" s="4">
        <v>2014</v>
      </c>
      <c r="H9" s="4">
        <v>12</v>
      </c>
      <c r="I9" s="5">
        <v>155359</v>
      </c>
      <c r="J9" s="5">
        <f>I9/H9</f>
        <v>12946.583333333334</v>
      </c>
      <c r="K9" s="4" t="s">
        <v>43</v>
      </c>
      <c r="L9" s="4" t="s">
        <v>44</v>
      </c>
      <c r="M9" s="5">
        <v>75000</v>
      </c>
      <c r="N9" s="4" t="str">
        <f>IF(I9&lt;=M9,"Yes","No")</f>
        <v>No</v>
      </c>
      <c r="O9" s="4" t="str">
        <f>CONCATENATE(C9,UPPER(E9),UPPER(LEFT(K9,3)),RIGHT(A9,3))</f>
        <v>BMWPOLOSIL008</v>
      </c>
    </row>
    <row r="10" spans="1:16" x14ac:dyDescent="0.3">
      <c r="A10" s="4" t="s">
        <v>60</v>
      </c>
      <c r="B10" s="4" t="s">
        <v>33</v>
      </c>
      <c r="C10" s="4" t="str">
        <f>VLOOKUP(B10,B$74:D$85,3)</f>
        <v>BMW</v>
      </c>
      <c r="D10" s="4" t="s">
        <v>34</v>
      </c>
      <c r="E10" s="4" t="s">
        <v>99</v>
      </c>
      <c r="F10" s="4" t="s">
        <v>100</v>
      </c>
      <c r="G10" s="4">
        <v>2016</v>
      </c>
      <c r="H10" s="4">
        <v>10</v>
      </c>
      <c r="I10" s="5">
        <v>149041</v>
      </c>
      <c r="J10" s="5">
        <f>I10/H10</f>
        <v>14904.1</v>
      </c>
      <c r="K10" s="4" t="s">
        <v>52</v>
      </c>
      <c r="L10" s="4" t="s">
        <v>31</v>
      </c>
      <c r="M10" s="5">
        <v>100000</v>
      </c>
      <c r="N10" s="4" t="str">
        <f>IF(I10&lt;=M10,"Yes","No")</f>
        <v>No</v>
      </c>
      <c r="O10" s="4" t="str">
        <f>CONCATENATE(C10,UPPER(E10),UPPER(LEFT(K10,3)),RIGHT(A10,3))</f>
        <v>BMWPOLOBLU009</v>
      </c>
    </row>
    <row r="11" spans="1:16" x14ac:dyDescent="0.3">
      <c r="A11" s="4" t="s">
        <v>65</v>
      </c>
      <c r="B11" s="4" t="s">
        <v>20</v>
      </c>
      <c r="C11" s="4" t="str">
        <f>VLOOKUP(B11,B$74:D$85,3)</f>
        <v>FOR</v>
      </c>
      <c r="D11" s="4" t="s">
        <v>21</v>
      </c>
      <c r="E11" s="4" t="s">
        <v>73</v>
      </c>
      <c r="F11" s="4" t="s">
        <v>74</v>
      </c>
      <c r="G11" s="4">
        <v>2017</v>
      </c>
      <c r="H11" s="4">
        <v>9</v>
      </c>
      <c r="I11" s="5">
        <v>148009</v>
      </c>
      <c r="J11" s="5">
        <f>I11/H11</f>
        <v>16445.444444444445</v>
      </c>
      <c r="K11" s="4" t="s">
        <v>17</v>
      </c>
      <c r="L11" s="4" t="s">
        <v>86</v>
      </c>
      <c r="M11" s="5">
        <v>50000</v>
      </c>
      <c r="N11" s="4" t="str">
        <f>IF(I11&lt;=M11,"Yes","No")</f>
        <v>No</v>
      </c>
      <c r="O11" s="4" t="str">
        <f>CONCATENATE(C11,UPPER(E11),UPPER(LEFT(K11,3)),RIGHT(A11,3))</f>
        <v>FORCIVICRED010</v>
      </c>
    </row>
    <row r="12" spans="1:16" x14ac:dyDescent="0.3">
      <c r="A12" s="4" t="s">
        <v>70</v>
      </c>
      <c r="B12" s="4" t="s">
        <v>20</v>
      </c>
      <c r="C12" s="4" t="str">
        <f>VLOOKUP(B12,B$74:D$85,3)</f>
        <v>FOR</v>
      </c>
      <c r="D12" s="4" t="s">
        <v>21</v>
      </c>
      <c r="E12" s="4" t="s">
        <v>73</v>
      </c>
      <c r="F12" s="4" t="s">
        <v>74</v>
      </c>
      <c r="G12" s="4">
        <v>2014</v>
      </c>
      <c r="H12" s="4">
        <v>12</v>
      </c>
      <c r="I12" s="5">
        <v>143536</v>
      </c>
      <c r="J12" s="5">
        <f>I12/H12</f>
        <v>11961.333333333334</v>
      </c>
      <c r="K12" s="4" t="s">
        <v>17</v>
      </c>
      <c r="L12" s="4" t="s">
        <v>84</v>
      </c>
      <c r="M12" s="5">
        <v>75000</v>
      </c>
      <c r="N12" s="4" t="str">
        <f>IF(I12&lt;=M12,"Yes","No")</f>
        <v>No</v>
      </c>
      <c r="O12" s="4" t="str">
        <f>CONCATENATE(C12,UPPER(E12),UPPER(LEFT(K12,3)),RIGHT(A12,3))</f>
        <v>FORCIVICRED011</v>
      </c>
    </row>
    <row r="13" spans="1:16" x14ac:dyDescent="0.3">
      <c r="A13" s="4" t="s">
        <v>77</v>
      </c>
      <c r="B13" s="4" t="s">
        <v>20</v>
      </c>
      <c r="C13" s="4" t="str">
        <f>VLOOKUP(B13,B$74:D$85,3)</f>
        <v>FOR</v>
      </c>
      <c r="D13" s="4" t="s">
        <v>21</v>
      </c>
      <c r="E13" s="4" t="s">
        <v>29</v>
      </c>
      <c r="F13" s="4" t="s">
        <v>30</v>
      </c>
      <c r="G13" s="4">
        <v>2015</v>
      </c>
      <c r="H13" s="4">
        <v>11</v>
      </c>
      <c r="I13" s="5">
        <v>143133</v>
      </c>
      <c r="J13" s="5">
        <f>I13/H13</f>
        <v>13012.09090909091</v>
      </c>
      <c r="K13" s="4" t="s">
        <v>52</v>
      </c>
      <c r="L13" s="4" t="s">
        <v>53</v>
      </c>
      <c r="M13" s="5">
        <v>50000</v>
      </c>
      <c r="N13" s="4" t="str">
        <f>IF(I13&lt;=M13,"Yes","No")</f>
        <v>No</v>
      </c>
      <c r="O13" s="4" t="str">
        <f>CONCATENATE(C13,UPPER(E13),UPPER(LEFT(K13,3)),RIGHT(A13,3))</f>
        <v>FORTHARBLU012</v>
      </c>
    </row>
    <row r="14" spans="1:16" x14ac:dyDescent="0.3">
      <c r="A14" s="4" t="s">
        <v>79</v>
      </c>
      <c r="B14" s="4" t="s">
        <v>20</v>
      </c>
      <c r="C14" s="4" t="str">
        <f>VLOOKUP(B14,B$74:D$85,3)</f>
        <v>FOR</v>
      </c>
      <c r="D14" s="4" t="s">
        <v>21</v>
      </c>
      <c r="E14" s="4" t="s">
        <v>68</v>
      </c>
      <c r="F14" s="4" t="s">
        <v>69</v>
      </c>
      <c r="G14" s="4">
        <v>2017</v>
      </c>
      <c r="H14" s="4">
        <v>9</v>
      </c>
      <c r="I14" s="5">
        <v>142800</v>
      </c>
      <c r="J14" s="5">
        <f>I14/H14</f>
        <v>15866.666666666666</v>
      </c>
      <c r="K14" s="4" t="s">
        <v>90</v>
      </c>
      <c r="L14" s="4" t="s">
        <v>50</v>
      </c>
      <c r="M14" s="5">
        <v>30000</v>
      </c>
      <c r="N14" s="4" t="str">
        <f>IF(I14&lt;=M14,"Yes","No")</f>
        <v>No</v>
      </c>
      <c r="O14" s="4" t="str">
        <f>CONCATENATE(C14,UPPER(E14),UPPER(LEFT(K14,3)),RIGHT(A14,3))</f>
        <v>FORCAMRYGRE013</v>
      </c>
    </row>
    <row r="15" spans="1:16" x14ac:dyDescent="0.3">
      <c r="A15" s="4" t="s">
        <v>81</v>
      </c>
      <c r="B15" s="4" t="s">
        <v>20</v>
      </c>
      <c r="C15" s="4" t="str">
        <f>VLOOKUP(B15,B$74:D$85,3)</f>
        <v>FOR</v>
      </c>
      <c r="D15" s="4" t="s">
        <v>21</v>
      </c>
      <c r="E15" s="4" t="s">
        <v>22</v>
      </c>
      <c r="F15" s="4" t="s">
        <v>23</v>
      </c>
      <c r="G15" s="4">
        <v>2014</v>
      </c>
      <c r="H15" s="4">
        <v>12</v>
      </c>
      <c r="I15" s="5">
        <v>141587</v>
      </c>
      <c r="J15" s="5">
        <f>I15/H15</f>
        <v>11798.916666666666</v>
      </c>
      <c r="K15" s="4" t="s">
        <v>75</v>
      </c>
      <c r="L15" s="4" t="s">
        <v>121</v>
      </c>
      <c r="M15" s="5">
        <v>30000</v>
      </c>
      <c r="N15" s="4" t="str">
        <f>IF(I15&lt;=M15,"Yes","No")</f>
        <v>No</v>
      </c>
      <c r="O15" s="4" t="str">
        <f>CONCATENATE(C15,UPPER(E15),UPPER(LEFT(K15,3)),RIGHT(A15,3))</f>
        <v>FORFOCUSGRE014</v>
      </c>
    </row>
    <row r="16" spans="1:16" x14ac:dyDescent="0.3">
      <c r="A16" s="4" t="s">
        <v>83</v>
      </c>
      <c r="B16" s="4" t="s">
        <v>71</v>
      </c>
      <c r="C16" s="4" t="str">
        <f>VLOOKUP(B16,B$74:D$85,3)</f>
        <v>HON</v>
      </c>
      <c r="D16" s="4" t="s">
        <v>72</v>
      </c>
      <c r="E16" s="4" t="s">
        <v>29</v>
      </c>
      <c r="F16" s="4" t="s">
        <v>30</v>
      </c>
      <c r="G16" s="4">
        <v>2018</v>
      </c>
      <c r="H16" s="4">
        <v>8</v>
      </c>
      <c r="I16" s="5">
        <v>141517</v>
      </c>
      <c r="J16" s="5">
        <f>I16/H16</f>
        <v>17689.625</v>
      </c>
      <c r="K16" s="4" t="s">
        <v>17</v>
      </c>
      <c r="L16" s="4" t="s">
        <v>82</v>
      </c>
      <c r="M16" s="5">
        <v>75000</v>
      </c>
      <c r="N16" s="4" t="str">
        <f>IF(I16&lt;=M16,"Yes","No")</f>
        <v>No</v>
      </c>
      <c r="O16" s="4" t="str">
        <f>CONCATENATE(C16,UPPER(E16),UPPER(LEFT(K16,3)),RIGHT(A16,3))</f>
        <v>HONTHARRED015</v>
      </c>
    </row>
    <row r="17" spans="1:15" x14ac:dyDescent="0.3">
      <c r="A17" s="4" t="s">
        <v>85</v>
      </c>
      <c r="B17" s="4" t="s">
        <v>71</v>
      </c>
      <c r="C17" s="4" t="str">
        <f>VLOOKUP(B17,B$74:D$85,3)</f>
        <v>HON</v>
      </c>
      <c r="D17" s="4" t="s">
        <v>72</v>
      </c>
      <c r="E17" s="4" t="s">
        <v>63</v>
      </c>
      <c r="F17" s="4" t="s">
        <v>64</v>
      </c>
      <c r="G17" s="4">
        <v>2016</v>
      </c>
      <c r="H17" s="4">
        <v>10</v>
      </c>
      <c r="I17" s="5">
        <v>122743</v>
      </c>
      <c r="J17" s="5">
        <f>I17/H17</f>
        <v>12274.3</v>
      </c>
      <c r="K17" s="4" t="s">
        <v>75</v>
      </c>
      <c r="L17" s="4" t="s">
        <v>106</v>
      </c>
      <c r="M17" s="5">
        <v>40000</v>
      </c>
      <c r="N17" s="4" t="str">
        <f>IF(I17&lt;=M17,"Yes","No")</f>
        <v>No</v>
      </c>
      <c r="O17" s="4" t="str">
        <f>CONCATENATE(C17,UPPER(E17),UPPER(LEFT(K17,3)),RIGHT(A17,3))</f>
        <v>HONSWIFTGRE016</v>
      </c>
    </row>
    <row r="18" spans="1:15" x14ac:dyDescent="0.3">
      <c r="A18" s="4" t="s">
        <v>87</v>
      </c>
      <c r="B18" s="4" t="s">
        <v>71</v>
      </c>
      <c r="C18" s="4" t="str">
        <f>VLOOKUP(B18,B$74:D$85,3)</f>
        <v>HON</v>
      </c>
      <c r="D18" s="4" t="s">
        <v>72</v>
      </c>
      <c r="E18" s="4" t="s">
        <v>15</v>
      </c>
      <c r="F18" s="4" t="s">
        <v>16</v>
      </c>
      <c r="G18" s="4">
        <v>2017</v>
      </c>
      <c r="H18" s="4">
        <v>9</v>
      </c>
      <c r="I18" s="5">
        <v>119941</v>
      </c>
      <c r="J18" s="5">
        <f>I18/H18</f>
        <v>13326.777777777777</v>
      </c>
      <c r="K18" s="4" t="s">
        <v>24</v>
      </c>
      <c r="L18" s="4" t="s">
        <v>84</v>
      </c>
      <c r="M18" s="5">
        <v>50000</v>
      </c>
      <c r="N18" s="4" t="str">
        <f>IF(I18&lt;=M18,"Yes","No")</f>
        <v>No</v>
      </c>
      <c r="O18" s="4" t="str">
        <f>CONCATENATE(C18,UPPER(E18),UPPER(LEFT(K18,3)),RIGHT(A18,3))</f>
        <v>HONC-CLASSBLA017</v>
      </c>
    </row>
    <row r="19" spans="1:15" x14ac:dyDescent="0.3">
      <c r="A19" s="4" t="s">
        <v>88</v>
      </c>
      <c r="B19" s="4" t="s">
        <v>71</v>
      </c>
      <c r="C19" s="4" t="str">
        <f>VLOOKUP(B19,B$74:D$85,3)</f>
        <v>HON</v>
      </c>
      <c r="D19" s="4" t="s">
        <v>72</v>
      </c>
      <c r="E19" s="4" t="s">
        <v>73</v>
      </c>
      <c r="F19" s="4" t="s">
        <v>74</v>
      </c>
      <c r="G19" s="4">
        <v>2018</v>
      </c>
      <c r="H19" s="4">
        <v>8</v>
      </c>
      <c r="I19" s="5">
        <v>110279</v>
      </c>
      <c r="J19" s="5">
        <f>I19/H19</f>
        <v>13784.875</v>
      </c>
      <c r="K19" s="4" t="s">
        <v>95</v>
      </c>
      <c r="L19" s="4" t="s">
        <v>84</v>
      </c>
      <c r="M19" s="5">
        <v>60000</v>
      </c>
      <c r="N19" s="4" t="str">
        <f>IF(I19&lt;=M19,"Yes","No")</f>
        <v>No</v>
      </c>
      <c r="O19" s="4" t="str">
        <f>CONCATENATE(C19,UPPER(E19),UPPER(LEFT(K19,3)),RIGHT(A19,3))</f>
        <v>HONCIVICWHI018</v>
      </c>
    </row>
    <row r="20" spans="1:15" x14ac:dyDescent="0.3">
      <c r="A20" s="4" t="s">
        <v>89</v>
      </c>
      <c r="B20" s="4" t="s">
        <v>71</v>
      </c>
      <c r="C20" s="4" t="str">
        <f>VLOOKUP(B20,B$74:D$85,3)</f>
        <v>HON</v>
      </c>
      <c r="D20" s="4" t="s">
        <v>72</v>
      </c>
      <c r="E20" s="4" t="s">
        <v>73</v>
      </c>
      <c r="F20" s="4" t="s">
        <v>74</v>
      </c>
      <c r="G20" s="4">
        <v>2020</v>
      </c>
      <c r="H20" s="4">
        <v>6</v>
      </c>
      <c r="I20" s="5">
        <v>108401</v>
      </c>
      <c r="J20" s="5">
        <f>I20/H20</f>
        <v>18066.833333333332</v>
      </c>
      <c r="K20" s="4" t="s">
        <v>75</v>
      </c>
      <c r="L20" s="4" t="s">
        <v>84</v>
      </c>
      <c r="M20" s="5">
        <v>75000</v>
      </c>
      <c r="N20" s="4" t="str">
        <f>IF(I20&lt;=M20,"Yes","No")</f>
        <v>No</v>
      </c>
      <c r="O20" s="4" t="str">
        <f>CONCATENATE(C20,UPPER(E20),UPPER(LEFT(K20,3)),RIGHT(A20,3))</f>
        <v>HONCIVICGRE019</v>
      </c>
    </row>
    <row r="21" spans="1:15" x14ac:dyDescent="0.3">
      <c r="A21" s="4" t="s">
        <v>91</v>
      </c>
      <c r="B21" s="4" t="s">
        <v>71</v>
      </c>
      <c r="C21" s="4" t="str">
        <f>VLOOKUP(B21,B$74:D$85,3)</f>
        <v>HON</v>
      </c>
      <c r="D21" s="4" t="s">
        <v>72</v>
      </c>
      <c r="E21" s="4" t="s">
        <v>99</v>
      </c>
      <c r="F21" s="4" t="s">
        <v>100</v>
      </c>
      <c r="G21" s="4">
        <v>2015</v>
      </c>
      <c r="H21" s="4">
        <v>11</v>
      </c>
      <c r="I21" s="5">
        <v>105545</v>
      </c>
      <c r="J21" s="5">
        <f>I21/H21</f>
        <v>9595</v>
      </c>
      <c r="K21" s="4" t="s">
        <v>24</v>
      </c>
      <c r="L21" s="4" t="s">
        <v>18</v>
      </c>
      <c r="M21" s="5">
        <v>75000</v>
      </c>
      <c r="N21" s="4" t="str">
        <f>IF(I21&lt;=M21,"Yes","No")</f>
        <v>No</v>
      </c>
      <c r="O21" s="4" t="str">
        <f>CONCATENATE(C21,UPPER(E21),UPPER(LEFT(K21,3)),RIGHT(A21,3))</f>
        <v>HONPOLOBLA020</v>
      </c>
    </row>
    <row r="22" spans="1:15" x14ac:dyDescent="0.3">
      <c r="A22" s="4" t="s">
        <v>92</v>
      </c>
      <c r="B22" s="4" t="s">
        <v>71</v>
      </c>
      <c r="C22" s="4" t="str">
        <f>VLOOKUP(B22,B$74:D$85,3)</f>
        <v>HON</v>
      </c>
      <c r="D22" s="4" t="s">
        <v>72</v>
      </c>
      <c r="E22" s="4" t="s">
        <v>57</v>
      </c>
      <c r="F22" s="4" t="s">
        <v>58</v>
      </c>
      <c r="G22" s="4">
        <v>2016</v>
      </c>
      <c r="H22" s="4">
        <v>10</v>
      </c>
      <c r="I22" s="5">
        <v>105111</v>
      </c>
      <c r="J22" s="5">
        <f>I22/H22</f>
        <v>10511.1</v>
      </c>
      <c r="K22" s="4" t="s">
        <v>37</v>
      </c>
      <c r="L22" s="4" t="s">
        <v>137</v>
      </c>
      <c r="M22" s="5">
        <v>40000</v>
      </c>
      <c r="N22" s="4" t="str">
        <f>IF(I22&lt;=M22,"Yes","No")</f>
        <v>No</v>
      </c>
      <c r="O22" s="4" t="str">
        <f>CONCATENATE(C22,UPPER(E22),UPPER(LEFT(K22,3)),RIGHT(A22,3))</f>
        <v>HONA4BRO021</v>
      </c>
    </row>
    <row r="23" spans="1:15" x14ac:dyDescent="0.3">
      <c r="A23" s="4" t="s">
        <v>93</v>
      </c>
      <c r="B23" s="4" t="s">
        <v>110</v>
      </c>
      <c r="C23" s="4" t="str">
        <f>VLOOKUP(B23,B$74:D$85,3)</f>
        <v>HYU</v>
      </c>
      <c r="D23" s="4" t="s">
        <v>111</v>
      </c>
      <c r="E23" s="4" t="s">
        <v>68</v>
      </c>
      <c r="F23" s="4" t="s">
        <v>69</v>
      </c>
      <c r="G23" s="4">
        <v>2015</v>
      </c>
      <c r="H23" s="4">
        <v>11</v>
      </c>
      <c r="I23" s="5">
        <v>104184</v>
      </c>
      <c r="J23" s="5">
        <f>I23/H23</f>
        <v>9471.2727272727279</v>
      </c>
      <c r="K23" s="4" t="s">
        <v>37</v>
      </c>
      <c r="L23" s="4" t="s">
        <v>78</v>
      </c>
      <c r="M23" s="5">
        <v>40000</v>
      </c>
      <c r="N23" s="4" t="str">
        <f>IF(I23&lt;=M23,"Yes","No")</f>
        <v>No</v>
      </c>
      <c r="O23" s="4" t="str">
        <f>CONCATENATE(C23,UPPER(E23),UPPER(LEFT(K23,3)),RIGHT(A23,3))</f>
        <v>HYUCAMRYBRO022</v>
      </c>
    </row>
    <row r="24" spans="1:15" x14ac:dyDescent="0.3">
      <c r="A24" s="4" t="s">
        <v>94</v>
      </c>
      <c r="B24" s="4" t="s">
        <v>110</v>
      </c>
      <c r="C24" s="4" t="str">
        <f>VLOOKUP(B24,B$74:D$85,3)</f>
        <v>HYU</v>
      </c>
      <c r="D24" s="4" t="s">
        <v>111</v>
      </c>
      <c r="E24" s="4" t="s">
        <v>112</v>
      </c>
      <c r="F24" s="4" t="s">
        <v>113</v>
      </c>
      <c r="G24" s="4">
        <v>2014</v>
      </c>
      <c r="H24" s="4">
        <v>12</v>
      </c>
      <c r="I24" s="5">
        <v>97754</v>
      </c>
      <c r="J24" s="5">
        <f>I24/H24</f>
        <v>8146.166666666667</v>
      </c>
      <c r="K24" s="4" t="s">
        <v>95</v>
      </c>
      <c r="L24" s="4" t="s">
        <v>18</v>
      </c>
      <c r="M24" s="5">
        <v>100000</v>
      </c>
      <c r="N24" s="4" t="str">
        <f>IF(I24&lt;=M24,"Yes","No")</f>
        <v>Yes</v>
      </c>
      <c r="O24" s="4" t="str">
        <f>CONCATENATE(C24,UPPER(E24),UPPER(LEFT(K24,3)),RIGHT(A24,3))</f>
        <v>HYUELANTRAWHI023</v>
      </c>
    </row>
    <row r="25" spans="1:15" x14ac:dyDescent="0.3">
      <c r="A25" s="4" t="s">
        <v>96</v>
      </c>
      <c r="B25" s="4" t="s">
        <v>110</v>
      </c>
      <c r="C25" s="4" t="str">
        <f>VLOOKUP(B25,B$74:D$85,3)</f>
        <v>HYU</v>
      </c>
      <c r="D25" s="4" t="s">
        <v>111</v>
      </c>
      <c r="E25" s="4" t="s">
        <v>57</v>
      </c>
      <c r="F25" s="4" t="s">
        <v>58</v>
      </c>
      <c r="G25" s="4">
        <v>2020</v>
      </c>
      <c r="H25" s="4">
        <v>6</v>
      </c>
      <c r="I25" s="5">
        <v>94213</v>
      </c>
      <c r="J25" s="5">
        <f>I25/H25</f>
        <v>15702.166666666666</v>
      </c>
      <c r="K25" s="4" t="s">
        <v>24</v>
      </c>
      <c r="L25" s="4" t="s">
        <v>129</v>
      </c>
      <c r="M25" s="5">
        <v>30000</v>
      </c>
      <c r="N25" s="4" t="str">
        <f>IF(I25&lt;=M25,"Yes","No")</f>
        <v>No</v>
      </c>
      <c r="O25" s="4" t="str">
        <f>CONCATENATE(C25,UPPER(E25),UPPER(LEFT(K25,3)),RIGHT(A25,3))</f>
        <v>HYUA4BLA024</v>
      </c>
    </row>
    <row r="26" spans="1:15" x14ac:dyDescent="0.3">
      <c r="A26" s="4" t="s">
        <v>101</v>
      </c>
      <c r="B26" s="4" t="s">
        <v>110</v>
      </c>
      <c r="C26" s="4" t="str">
        <f>VLOOKUP(B26,B$74:D$85,3)</f>
        <v>HYU</v>
      </c>
      <c r="D26" s="4" t="s">
        <v>111</v>
      </c>
      <c r="E26" s="4" t="s">
        <v>99</v>
      </c>
      <c r="F26" s="4" t="s">
        <v>100</v>
      </c>
      <c r="G26" s="4">
        <v>2016</v>
      </c>
      <c r="H26" s="4">
        <v>10</v>
      </c>
      <c r="I26" s="5">
        <v>91434</v>
      </c>
      <c r="J26" s="5">
        <f>I26/H26</f>
        <v>9143.4</v>
      </c>
      <c r="K26" s="4" t="s">
        <v>43</v>
      </c>
      <c r="L26" s="4" t="s">
        <v>84</v>
      </c>
      <c r="M26" s="5">
        <v>60000</v>
      </c>
      <c r="N26" s="4" t="str">
        <f>IF(I26&lt;=M26,"Yes","No")</f>
        <v>No</v>
      </c>
      <c r="O26" s="4" t="str">
        <f>CONCATENATE(C26,UPPER(E26),UPPER(LEFT(K26,3)),RIGHT(A26,3))</f>
        <v>HYUPOLOSIL025</v>
      </c>
    </row>
    <row r="27" spans="1:15" x14ac:dyDescent="0.3">
      <c r="A27" s="4" t="s">
        <v>102</v>
      </c>
      <c r="B27" s="4" t="s">
        <v>110</v>
      </c>
      <c r="C27" s="4" t="str">
        <f>VLOOKUP(B27,B$74:D$85,3)</f>
        <v>HYU</v>
      </c>
      <c r="D27" s="4" t="s">
        <v>111</v>
      </c>
      <c r="E27" s="4" t="s">
        <v>29</v>
      </c>
      <c r="F27" s="4" t="s">
        <v>30</v>
      </c>
      <c r="G27" s="4">
        <v>2020</v>
      </c>
      <c r="H27" s="4">
        <v>6</v>
      </c>
      <c r="I27" s="5">
        <v>90878</v>
      </c>
      <c r="J27" s="5">
        <f>I27/H27</f>
        <v>15146.333333333334</v>
      </c>
      <c r="K27" s="4" t="s">
        <v>24</v>
      </c>
      <c r="L27" s="4" t="s">
        <v>53</v>
      </c>
      <c r="M27" s="5">
        <v>30000</v>
      </c>
      <c r="N27" s="4" t="str">
        <f>IF(I27&lt;=M27,"Yes","No")</f>
        <v>No</v>
      </c>
      <c r="O27" s="4" t="str">
        <f>CONCATENATE(C27,UPPER(E27),UPPER(LEFT(K27,3)),RIGHT(A27,3))</f>
        <v>HYUTHARBLA026</v>
      </c>
    </row>
    <row r="28" spans="1:15" x14ac:dyDescent="0.3">
      <c r="A28" s="4" t="s">
        <v>103</v>
      </c>
      <c r="B28" s="4" t="s">
        <v>110</v>
      </c>
      <c r="C28" s="4" t="str">
        <f>VLOOKUP(B28,B$74:D$85,3)</f>
        <v>HYU</v>
      </c>
      <c r="D28" s="4" t="s">
        <v>111</v>
      </c>
      <c r="E28" s="4" t="s">
        <v>29</v>
      </c>
      <c r="F28" s="4" t="s">
        <v>30</v>
      </c>
      <c r="G28" s="4">
        <v>2014</v>
      </c>
      <c r="H28" s="4">
        <v>12</v>
      </c>
      <c r="I28" s="5">
        <v>84623</v>
      </c>
      <c r="J28" s="5">
        <f>I28/H28</f>
        <v>7051.916666666667</v>
      </c>
      <c r="K28" s="4" t="s">
        <v>17</v>
      </c>
      <c r="L28" s="4" t="s">
        <v>31</v>
      </c>
      <c r="M28" s="5">
        <v>40000</v>
      </c>
      <c r="N28" s="4" t="str">
        <f>IF(I28&lt;=M28,"Yes","No")</f>
        <v>No</v>
      </c>
      <c r="O28" s="4" t="str">
        <f>CONCATENATE(C28,UPPER(E28),UPPER(LEFT(K28,3)),RIGHT(A28,3))</f>
        <v>HYUTHARRED027</v>
      </c>
    </row>
    <row r="29" spans="1:15" x14ac:dyDescent="0.3">
      <c r="A29" s="4" t="s">
        <v>104</v>
      </c>
      <c r="B29" s="4" t="s">
        <v>110</v>
      </c>
      <c r="C29" s="4" t="str">
        <f>VLOOKUP(B29,B$74:D$85,3)</f>
        <v>HYU</v>
      </c>
      <c r="D29" s="4" t="s">
        <v>111</v>
      </c>
      <c r="E29" s="4" t="s">
        <v>35</v>
      </c>
      <c r="F29" s="4" t="s">
        <v>36</v>
      </c>
      <c r="G29" s="4">
        <v>2017</v>
      </c>
      <c r="H29" s="4">
        <v>9</v>
      </c>
      <c r="I29" s="5">
        <v>84099</v>
      </c>
      <c r="J29" s="5">
        <f>I29/H29</f>
        <v>9344.3333333333339</v>
      </c>
      <c r="K29" s="4" t="s">
        <v>95</v>
      </c>
      <c r="L29" s="4" t="s">
        <v>78</v>
      </c>
      <c r="M29" s="5">
        <v>40000</v>
      </c>
      <c r="N29" s="4" t="str">
        <f>IF(I29&lt;=M29,"Yes","No")</f>
        <v>No</v>
      </c>
      <c r="O29" s="4" t="str">
        <f>CONCATENATE(C29,UPPER(E29),UPPER(LEFT(K29,3)),RIGHT(A29,3))</f>
        <v>HYU3 SERIESWHI028</v>
      </c>
    </row>
    <row r="30" spans="1:15" x14ac:dyDescent="0.3">
      <c r="A30" s="4" t="s">
        <v>105</v>
      </c>
      <c r="B30" s="4" t="s">
        <v>39</v>
      </c>
      <c r="C30" s="4" t="str">
        <f>VLOOKUP(B30,B$74:D$85,3)</f>
        <v>KIA</v>
      </c>
      <c r="D30" s="4" t="s">
        <v>40</v>
      </c>
      <c r="E30" s="4" t="s">
        <v>22</v>
      </c>
      <c r="F30" s="4" t="s">
        <v>23</v>
      </c>
      <c r="G30" s="4">
        <v>2021</v>
      </c>
      <c r="H30" s="4">
        <v>5</v>
      </c>
      <c r="I30" s="5">
        <v>82763</v>
      </c>
      <c r="J30" s="5">
        <f>I30/H30</f>
        <v>16552.599999999999</v>
      </c>
      <c r="K30" s="4" t="s">
        <v>95</v>
      </c>
      <c r="L30" s="4" t="s">
        <v>59</v>
      </c>
      <c r="M30" s="5">
        <v>50000</v>
      </c>
      <c r="N30" s="4" t="str">
        <f>IF(I30&lt;=M30,"Yes","No")</f>
        <v>No</v>
      </c>
      <c r="O30" s="4" t="str">
        <f>CONCATENATE(C30,UPPER(E30),UPPER(LEFT(K30,3)),RIGHT(A30,3))</f>
        <v>KIAFOCUSWHI029</v>
      </c>
    </row>
    <row r="31" spans="1:15" x14ac:dyDescent="0.3">
      <c r="A31" s="4" t="s">
        <v>107</v>
      </c>
      <c r="B31" s="4" t="s">
        <v>39</v>
      </c>
      <c r="C31" s="4" t="str">
        <f>VLOOKUP(B31,B$74:D$85,3)</f>
        <v>KIA</v>
      </c>
      <c r="D31" s="4" t="s">
        <v>40</v>
      </c>
      <c r="E31" s="4" t="s">
        <v>15</v>
      </c>
      <c r="F31" s="4" t="s">
        <v>16</v>
      </c>
      <c r="G31" s="4">
        <v>2015</v>
      </c>
      <c r="H31" s="4">
        <v>11</v>
      </c>
      <c r="I31" s="5">
        <v>82073</v>
      </c>
      <c r="J31" s="5">
        <f>I31/H31</f>
        <v>7461.181818181818</v>
      </c>
      <c r="K31" s="4" t="s">
        <v>17</v>
      </c>
      <c r="L31" s="4" t="s">
        <v>18</v>
      </c>
      <c r="M31" s="5">
        <v>50000</v>
      </c>
      <c r="N31" s="4" t="str">
        <f>IF(I31&lt;=M31,"Yes","No")</f>
        <v>No</v>
      </c>
      <c r="O31" s="4" t="str">
        <f>CONCATENATE(C31,UPPER(E31),UPPER(LEFT(K31,3)),RIGHT(A31,3))</f>
        <v>KIAC-CLASSRED030</v>
      </c>
    </row>
    <row r="32" spans="1:15" x14ac:dyDescent="0.3">
      <c r="A32" s="4" t="s">
        <v>109</v>
      </c>
      <c r="B32" s="4" t="s">
        <v>39</v>
      </c>
      <c r="C32" s="4" t="str">
        <f>VLOOKUP(B32,B$74:D$85,3)</f>
        <v>KIA</v>
      </c>
      <c r="D32" s="4" t="s">
        <v>40</v>
      </c>
      <c r="E32" s="4" t="s">
        <v>73</v>
      </c>
      <c r="F32" s="4" t="s">
        <v>74</v>
      </c>
      <c r="G32" s="4">
        <v>2020</v>
      </c>
      <c r="H32" s="4">
        <v>6</v>
      </c>
      <c r="I32" s="5">
        <v>81393</v>
      </c>
      <c r="J32" s="5">
        <f>I32/H32</f>
        <v>13565.5</v>
      </c>
      <c r="K32" s="4" t="s">
        <v>52</v>
      </c>
      <c r="L32" s="4" t="s">
        <v>59</v>
      </c>
      <c r="M32" s="5">
        <v>60000</v>
      </c>
      <c r="N32" s="4" t="str">
        <f>IF(I32&lt;=M32,"Yes","No")</f>
        <v>No</v>
      </c>
      <c r="O32" s="4" t="str">
        <f>CONCATENATE(C32,UPPER(E32),UPPER(LEFT(K32,3)),RIGHT(A32,3))</f>
        <v>KIACIVICBLU031</v>
      </c>
    </row>
    <row r="33" spans="1:15" x14ac:dyDescent="0.3">
      <c r="A33" s="4" t="s">
        <v>114</v>
      </c>
      <c r="B33" s="4" t="s">
        <v>39</v>
      </c>
      <c r="C33" s="4" t="str">
        <f>VLOOKUP(B33,B$74:D$85,3)</f>
        <v>KIA</v>
      </c>
      <c r="D33" s="4" t="s">
        <v>40</v>
      </c>
      <c r="E33" s="4" t="s">
        <v>112</v>
      </c>
      <c r="F33" s="4" t="s">
        <v>113</v>
      </c>
      <c r="G33" s="4">
        <v>2018</v>
      </c>
      <c r="H33" s="4">
        <v>8</v>
      </c>
      <c r="I33" s="5">
        <v>81007</v>
      </c>
      <c r="J33" s="5">
        <f>I33/H33</f>
        <v>10125.875</v>
      </c>
      <c r="K33" s="4" t="s">
        <v>95</v>
      </c>
      <c r="L33" s="4" t="s">
        <v>82</v>
      </c>
      <c r="M33" s="5">
        <v>75000</v>
      </c>
      <c r="N33" s="4" t="str">
        <f>IF(I33&lt;=M33,"Yes","No")</f>
        <v>No</v>
      </c>
      <c r="O33" s="4" t="str">
        <f>CONCATENATE(C33,UPPER(E33),UPPER(LEFT(K33,3)),RIGHT(A33,3))</f>
        <v>KIAELANTRAWHI032</v>
      </c>
    </row>
    <row r="34" spans="1:15" x14ac:dyDescent="0.3">
      <c r="A34" s="4" t="s">
        <v>115</v>
      </c>
      <c r="B34" s="4" t="s">
        <v>39</v>
      </c>
      <c r="C34" s="4" t="str">
        <f>VLOOKUP(B34,B$74:D$85,3)</f>
        <v>KIA</v>
      </c>
      <c r="D34" s="4" t="s">
        <v>40</v>
      </c>
      <c r="E34" s="4" t="s">
        <v>73</v>
      </c>
      <c r="F34" s="4" t="s">
        <v>74</v>
      </c>
      <c r="G34" s="4">
        <v>2018</v>
      </c>
      <c r="H34" s="4">
        <v>8</v>
      </c>
      <c r="I34" s="5">
        <v>80156</v>
      </c>
      <c r="J34" s="5">
        <f>I34/H34</f>
        <v>10019.5</v>
      </c>
      <c r="K34" s="4" t="s">
        <v>95</v>
      </c>
      <c r="L34" s="4" t="s">
        <v>108</v>
      </c>
      <c r="M34" s="5">
        <v>50000</v>
      </c>
      <c r="N34" s="4" t="str">
        <f>IF(I34&lt;=M34,"Yes","No")</f>
        <v>No</v>
      </c>
      <c r="O34" s="4" t="str">
        <f>CONCATENATE(C34,UPPER(E34),UPPER(LEFT(K34,3)),RIGHT(A34,3))</f>
        <v>KIACIVICWHI033</v>
      </c>
    </row>
    <row r="35" spans="1:15" x14ac:dyDescent="0.3">
      <c r="A35" s="4" t="s">
        <v>116</v>
      </c>
      <c r="B35" s="4" t="s">
        <v>27</v>
      </c>
      <c r="C35" s="4" t="str">
        <f>VLOOKUP(B35,B$74:D$85,3)</f>
        <v>MHA</v>
      </c>
      <c r="D35" s="4" t="s">
        <v>28</v>
      </c>
      <c r="E35" s="4" t="s">
        <v>35</v>
      </c>
      <c r="F35" s="4" t="s">
        <v>36</v>
      </c>
      <c r="G35" s="4">
        <v>2020</v>
      </c>
      <c r="H35" s="4">
        <v>6</v>
      </c>
      <c r="I35" s="5">
        <v>78946</v>
      </c>
      <c r="J35" s="5">
        <f>I35/H35</f>
        <v>13157.666666666666</v>
      </c>
      <c r="K35" s="4" t="s">
        <v>37</v>
      </c>
      <c r="L35" s="4" t="s">
        <v>78</v>
      </c>
      <c r="M35" s="5">
        <v>50000</v>
      </c>
      <c r="N35" s="4" t="str">
        <f>IF(I35&lt;=M35,"Yes","No")</f>
        <v>No</v>
      </c>
      <c r="O35" s="4" t="str">
        <f>CONCATENATE(C35,UPPER(E35),UPPER(LEFT(K35,3)),RIGHT(A35,3))</f>
        <v>MHA3 SERIESBRO034</v>
      </c>
    </row>
    <row r="36" spans="1:15" x14ac:dyDescent="0.3">
      <c r="A36" s="4" t="s">
        <v>117</v>
      </c>
      <c r="B36" s="4" t="s">
        <v>27</v>
      </c>
      <c r="C36" s="4" t="str">
        <f>VLOOKUP(B36,B$74:D$85,3)</f>
        <v>MHA</v>
      </c>
      <c r="D36" s="4" t="s">
        <v>28</v>
      </c>
      <c r="E36" s="4" t="s">
        <v>57</v>
      </c>
      <c r="F36" s="4" t="s">
        <v>58</v>
      </c>
      <c r="G36" s="4">
        <v>2021</v>
      </c>
      <c r="H36" s="4">
        <v>5</v>
      </c>
      <c r="I36" s="5">
        <v>77447</v>
      </c>
      <c r="J36" s="5">
        <f>I36/H36</f>
        <v>15489.4</v>
      </c>
      <c r="K36" s="4" t="s">
        <v>24</v>
      </c>
      <c r="L36" s="4" t="s">
        <v>59</v>
      </c>
      <c r="M36" s="5">
        <v>60000</v>
      </c>
      <c r="N36" s="4" t="str">
        <f>IF(I36&lt;=M36,"Yes","No")</f>
        <v>No</v>
      </c>
      <c r="O36" s="4" t="str">
        <f>CONCATENATE(C36,UPPER(E36),UPPER(LEFT(K36,3)),RIGHT(A36,3))</f>
        <v>MHAA4BLA035</v>
      </c>
    </row>
    <row r="37" spans="1:15" x14ac:dyDescent="0.3">
      <c r="A37" s="4" t="s">
        <v>119</v>
      </c>
      <c r="B37" s="4" t="s">
        <v>27</v>
      </c>
      <c r="C37" s="4" t="str">
        <f>VLOOKUP(B37,B$74:D$85,3)</f>
        <v>MHA</v>
      </c>
      <c r="D37" s="4" t="s">
        <v>28</v>
      </c>
      <c r="E37" s="4" t="s">
        <v>48</v>
      </c>
      <c r="F37" s="4" t="s">
        <v>49</v>
      </c>
      <c r="G37" s="4">
        <v>2019</v>
      </c>
      <c r="H37" s="4">
        <v>7</v>
      </c>
      <c r="I37" s="5">
        <v>75014</v>
      </c>
      <c r="J37" s="5">
        <f>I37/H37</f>
        <v>10716.285714285714</v>
      </c>
      <c r="K37" s="4" t="s">
        <v>24</v>
      </c>
      <c r="L37" s="4" t="s">
        <v>78</v>
      </c>
      <c r="M37" s="5">
        <v>50000</v>
      </c>
      <c r="N37" s="4" t="str">
        <f>IF(I37&lt;=M37,"Yes","No")</f>
        <v>No</v>
      </c>
      <c r="O37" s="4" t="str">
        <f>CONCATENATE(C37,UPPER(E37),UPPER(LEFT(K37,3)),RIGHT(A37,3))</f>
        <v>MHANEXONBLA036</v>
      </c>
    </row>
    <row r="38" spans="1:15" x14ac:dyDescent="0.3">
      <c r="A38" s="4" t="s">
        <v>120</v>
      </c>
      <c r="B38" s="4" t="s">
        <v>27</v>
      </c>
      <c r="C38" s="4" t="str">
        <f>VLOOKUP(B38,B$74:D$85,3)</f>
        <v>MHA</v>
      </c>
      <c r="D38" s="4" t="s">
        <v>28</v>
      </c>
      <c r="E38" s="4" t="s">
        <v>48</v>
      </c>
      <c r="F38" s="4" t="s">
        <v>49</v>
      </c>
      <c r="G38" s="4">
        <v>2018</v>
      </c>
      <c r="H38" s="4">
        <v>8</v>
      </c>
      <c r="I38" s="5">
        <v>74139</v>
      </c>
      <c r="J38" s="5">
        <f>I38/H38</f>
        <v>9267.375</v>
      </c>
      <c r="K38" s="4" t="s">
        <v>24</v>
      </c>
      <c r="L38" s="4" t="s">
        <v>50</v>
      </c>
      <c r="M38" s="5">
        <v>50000</v>
      </c>
      <c r="N38" s="4" t="str">
        <f>IF(I38&lt;=M38,"Yes","No")</f>
        <v>No</v>
      </c>
      <c r="O38" s="4" t="str">
        <f>CONCATENATE(C38,UPPER(E38),UPPER(LEFT(K38,3)),RIGHT(A38,3))</f>
        <v>MHANEXONBLA037</v>
      </c>
    </row>
    <row r="39" spans="1:15" x14ac:dyDescent="0.3">
      <c r="A39" s="4" t="s">
        <v>122</v>
      </c>
      <c r="B39" s="4" t="s">
        <v>27</v>
      </c>
      <c r="C39" s="4" t="str">
        <f>VLOOKUP(B39,B$74:D$85,3)</f>
        <v>MHA</v>
      </c>
      <c r="D39" s="4" t="s">
        <v>28</v>
      </c>
      <c r="E39" s="4" t="s">
        <v>41</v>
      </c>
      <c r="F39" s="4" t="s">
        <v>42</v>
      </c>
      <c r="G39" s="4">
        <v>2017</v>
      </c>
      <c r="H39" s="4">
        <v>9</v>
      </c>
      <c r="I39" s="5">
        <v>73245</v>
      </c>
      <c r="J39" s="5">
        <f>I39/H39</f>
        <v>8138.333333333333</v>
      </c>
      <c r="K39" s="4" t="s">
        <v>24</v>
      </c>
      <c r="L39" s="4" t="s">
        <v>53</v>
      </c>
      <c r="M39" s="5">
        <v>75000</v>
      </c>
      <c r="N39" s="4" t="str">
        <f>IF(I39&lt;=M39,"Yes","No")</f>
        <v>Yes</v>
      </c>
      <c r="O39" s="4" t="str">
        <f>CONCATENATE(C39,UPPER(E39),UPPER(LEFT(K39,3)),RIGHT(A39,3))</f>
        <v>MHASELTOSBLA038</v>
      </c>
    </row>
    <row r="40" spans="1:15" x14ac:dyDescent="0.3">
      <c r="A40" s="4" t="s">
        <v>123</v>
      </c>
      <c r="B40" s="4" t="s">
        <v>27</v>
      </c>
      <c r="C40" s="4" t="str">
        <f>VLOOKUP(B40,B$74:D$85,3)</f>
        <v>MHA</v>
      </c>
      <c r="D40" s="4" t="s">
        <v>28</v>
      </c>
      <c r="E40" s="4" t="s">
        <v>29</v>
      </c>
      <c r="F40" s="4" t="s">
        <v>30</v>
      </c>
      <c r="G40" s="4">
        <v>2019</v>
      </c>
      <c r="H40" s="4">
        <v>7</v>
      </c>
      <c r="I40" s="5">
        <v>71784</v>
      </c>
      <c r="J40" s="5">
        <f>I40/H40</f>
        <v>10254.857142857143</v>
      </c>
      <c r="K40" s="4" t="s">
        <v>90</v>
      </c>
      <c r="L40" s="4" t="s">
        <v>50</v>
      </c>
      <c r="M40" s="5">
        <v>75000</v>
      </c>
      <c r="N40" s="4" t="str">
        <f>IF(I40&lt;=M40,"Yes","No")</f>
        <v>Yes</v>
      </c>
      <c r="O40" s="4" t="str">
        <f>CONCATENATE(C40,UPPER(E40),UPPER(LEFT(K40,3)),RIGHT(A40,3))</f>
        <v>MHATHARGRE039</v>
      </c>
    </row>
    <row r="41" spans="1:15" x14ac:dyDescent="0.3">
      <c r="A41" s="4" t="s">
        <v>124</v>
      </c>
      <c r="B41" s="4" t="s">
        <v>27</v>
      </c>
      <c r="C41" s="4" t="str">
        <f>VLOOKUP(B41,B$74:D$85,3)</f>
        <v>MHA</v>
      </c>
      <c r="D41" s="4" t="s">
        <v>28</v>
      </c>
      <c r="E41" s="4" t="s">
        <v>68</v>
      </c>
      <c r="F41" s="4" t="s">
        <v>69</v>
      </c>
      <c r="G41" s="4">
        <v>2020</v>
      </c>
      <c r="H41" s="4">
        <v>6</v>
      </c>
      <c r="I41" s="5">
        <v>71493</v>
      </c>
      <c r="J41" s="5">
        <f>I41/H41</f>
        <v>11915.5</v>
      </c>
      <c r="K41" s="4" t="s">
        <v>52</v>
      </c>
      <c r="L41" s="4" t="s">
        <v>44</v>
      </c>
      <c r="M41" s="5">
        <v>60000</v>
      </c>
      <c r="N41" s="4" t="str">
        <f>IF(I41&lt;=M41,"Yes","No")</f>
        <v>No</v>
      </c>
      <c r="O41" s="4" t="str">
        <f>CONCATENATE(C41,UPPER(E41),UPPER(LEFT(K41,3)),RIGHT(A41,3))</f>
        <v>MHACAMRYBLU040</v>
      </c>
    </row>
    <row r="42" spans="1:15" x14ac:dyDescent="0.3">
      <c r="A42" s="4" t="s">
        <v>125</v>
      </c>
      <c r="B42" s="4" t="s">
        <v>27</v>
      </c>
      <c r="C42" s="4" t="str">
        <f>VLOOKUP(B42,B$74:D$85,3)</f>
        <v>MHA</v>
      </c>
      <c r="D42" s="4" t="s">
        <v>28</v>
      </c>
      <c r="E42" s="4" t="s">
        <v>112</v>
      </c>
      <c r="F42" s="4" t="s">
        <v>113</v>
      </c>
      <c r="G42" s="4">
        <v>2017</v>
      </c>
      <c r="H42" s="4">
        <v>9</v>
      </c>
      <c r="I42" s="5">
        <v>70710</v>
      </c>
      <c r="J42" s="5">
        <f>I42/H42</f>
        <v>7856.666666666667</v>
      </c>
      <c r="K42" s="4" t="s">
        <v>17</v>
      </c>
      <c r="L42" s="4" t="s">
        <v>25</v>
      </c>
      <c r="M42" s="5">
        <v>30000</v>
      </c>
      <c r="N42" s="4" t="str">
        <f>IF(I42&lt;=M42,"Yes","No")</f>
        <v>No</v>
      </c>
      <c r="O42" s="4" t="str">
        <f>CONCATENATE(C42,UPPER(E42),UPPER(LEFT(K42,3)),RIGHT(A42,3))</f>
        <v>MHAELANTRARED041</v>
      </c>
    </row>
    <row r="43" spans="1:15" x14ac:dyDescent="0.3">
      <c r="A43" s="4" t="s">
        <v>127</v>
      </c>
      <c r="B43" s="4" t="s">
        <v>27</v>
      </c>
      <c r="C43" s="4" t="str">
        <f>VLOOKUP(B43,B$74:D$85,3)</f>
        <v>MHA</v>
      </c>
      <c r="D43" s="4" t="s">
        <v>28</v>
      </c>
      <c r="E43" s="4" t="s">
        <v>73</v>
      </c>
      <c r="F43" s="4" t="s">
        <v>74</v>
      </c>
      <c r="G43" s="4">
        <v>2020</v>
      </c>
      <c r="H43" s="4">
        <v>6</v>
      </c>
      <c r="I43" s="5">
        <v>70038</v>
      </c>
      <c r="J43" s="5">
        <f>I43/H43</f>
        <v>11673</v>
      </c>
      <c r="K43" s="4" t="s">
        <v>75</v>
      </c>
      <c r="L43" s="4" t="s">
        <v>76</v>
      </c>
      <c r="M43" s="5">
        <v>100000</v>
      </c>
      <c r="N43" s="4" t="str">
        <f>IF(I43&lt;=M43,"Yes","No")</f>
        <v>Yes</v>
      </c>
      <c r="O43" s="4" t="str">
        <f>CONCATENATE(C43,UPPER(E43),UPPER(LEFT(K43,3)),RIGHT(A43,3))</f>
        <v>MHACIVICGRE042</v>
      </c>
    </row>
    <row r="44" spans="1:15" x14ac:dyDescent="0.3">
      <c r="A44" s="4" t="s">
        <v>128</v>
      </c>
      <c r="B44" s="4" t="s">
        <v>61</v>
      </c>
      <c r="C44" s="4" t="str">
        <f>VLOOKUP(B44,B$74:D$85,3)</f>
        <v>MAR</v>
      </c>
      <c r="D44" s="4" t="s">
        <v>62</v>
      </c>
      <c r="E44" s="4" t="s">
        <v>68</v>
      </c>
      <c r="F44" s="4" t="s">
        <v>69</v>
      </c>
      <c r="G44" s="4">
        <v>2017</v>
      </c>
      <c r="H44" s="4">
        <v>9</v>
      </c>
      <c r="I44" s="5">
        <v>69819</v>
      </c>
      <c r="J44" s="5">
        <f>I44/H44</f>
        <v>7757.666666666667</v>
      </c>
      <c r="K44" s="4" t="s">
        <v>37</v>
      </c>
      <c r="L44" s="4" t="s">
        <v>84</v>
      </c>
      <c r="M44" s="5">
        <v>50000</v>
      </c>
      <c r="N44" s="4" t="str">
        <f>IF(I44&lt;=M44,"Yes","No")</f>
        <v>No</v>
      </c>
      <c r="O44" s="4" t="str">
        <f>CONCATENATE(C44,UPPER(E44),UPPER(LEFT(K44,3)),RIGHT(A44,3))</f>
        <v>MARCAMRYBRO043</v>
      </c>
    </row>
    <row r="45" spans="1:15" x14ac:dyDescent="0.3">
      <c r="A45" s="4" t="s">
        <v>130</v>
      </c>
      <c r="B45" s="4" t="s">
        <v>61</v>
      </c>
      <c r="C45" s="4" t="str">
        <f>VLOOKUP(B45,B$74:D$85,3)</f>
        <v>MAR</v>
      </c>
      <c r="D45" s="4" t="s">
        <v>62</v>
      </c>
      <c r="E45" s="4" t="s">
        <v>112</v>
      </c>
      <c r="F45" s="4" t="s">
        <v>113</v>
      </c>
      <c r="G45" s="4">
        <v>2021</v>
      </c>
      <c r="H45" s="4">
        <v>5</v>
      </c>
      <c r="I45" s="5">
        <v>63640</v>
      </c>
      <c r="J45" s="5">
        <f>I45/H45</f>
        <v>12728</v>
      </c>
      <c r="K45" s="4" t="s">
        <v>17</v>
      </c>
      <c r="L45" s="4" t="s">
        <v>137</v>
      </c>
      <c r="M45" s="5">
        <v>40000</v>
      </c>
      <c r="N45" s="4" t="str">
        <f>IF(I45&lt;=M45,"Yes","No")</f>
        <v>No</v>
      </c>
      <c r="O45" s="4" t="str">
        <f>CONCATENATE(C45,UPPER(E45),UPPER(LEFT(K45,3)),RIGHT(A45,3))</f>
        <v>MARELANTRARED044</v>
      </c>
    </row>
    <row r="46" spans="1:15" x14ac:dyDescent="0.3">
      <c r="A46" s="4" t="s">
        <v>131</v>
      </c>
      <c r="B46" s="4" t="s">
        <v>61</v>
      </c>
      <c r="C46" s="4" t="str">
        <f>VLOOKUP(B46,B$74:D$85,3)</f>
        <v>MAR</v>
      </c>
      <c r="D46" s="4" t="s">
        <v>62</v>
      </c>
      <c r="E46" s="4" t="s">
        <v>57</v>
      </c>
      <c r="F46" s="4" t="s">
        <v>58</v>
      </c>
      <c r="G46" s="4">
        <v>2022</v>
      </c>
      <c r="H46" s="4">
        <v>4</v>
      </c>
      <c r="I46" s="5">
        <v>63472</v>
      </c>
      <c r="J46" s="5">
        <f>I46/H46</f>
        <v>15868</v>
      </c>
      <c r="K46" s="4" t="s">
        <v>37</v>
      </c>
      <c r="L46" s="4" t="s">
        <v>25</v>
      </c>
      <c r="M46" s="5">
        <v>100000</v>
      </c>
      <c r="N46" s="4" t="str">
        <f>IF(I46&lt;=M46,"Yes","No")</f>
        <v>Yes</v>
      </c>
      <c r="O46" s="4" t="str">
        <f>CONCATENATE(C46,UPPER(E46),UPPER(LEFT(K46,3)),RIGHT(A46,3))</f>
        <v>MARA4BRO045</v>
      </c>
    </row>
    <row r="47" spans="1:15" x14ac:dyDescent="0.3">
      <c r="A47" s="4" t="s">
        <v>132</v>
      </c>
      <c r="B47" s="4" t="s">
        <v>13</v>
      </c>
      <c r="C47" s="4" t="str">
        <f>VLOOKUP(B47,B$74:D$85,3)</f>
        <v>MER</v>
      </c>
      <c r="D47" s="4" t="s">
        <v>14</v>
      </c>
      <c r="E47" s="4" t="s">
        <v>41</v>
      </c>
      <c r="F47" s="4" t="s">
        <v>42</v>
      </c>
      <c r="G47" s="4">
        <v>2020</v>
      </c>
      <c r="H47" s="4">
        <v>6</v>
      </c>
      <c r="I47" s="5">
        <v>58486</v>
      </c>
      <c r="J47" s="5">
        <f>I47/H47</f>
        <v>9747.6666666666661</v>
      </c>
      <c r="K47" s="4" t="s">
        <v>37</v>
      </c>
      <c r="L47" s="4" t="s">
        <v>118</v>
      </c>
      <c r="M47" s="5">
        <v>30000</v>
      </c>
      <c r="N47" s="4" t="str">
        <f>IF(I47&lt;=M47,"Yes","No")</f>
        <v>No</v>
      </c>
      <c r="O47" s="4" t="str">
        <f>CONCATENATE(C47,UPPER(E47),UPPER(LEFT(K47,3)),RIGHT(A47,3))</f>
        <v>MERSELTOSBRO046</v>
      </c>
    </row>
    <row r="48" spans="1:15" x14ac:dyDescent="0.3">
      <c r="A48" s="4" t="s">
        <v>133</v>
      </c>
      <c r="B48" s="4" t="s">
        <v>13</v>
      </c>
      <c r="C48" s="4" t="str">
        <f>VLOOKUP(B48,B$74:D$85,3)</f>
        <v>MER</v>
      </c>
      <c r="D48" s="4" t="s">
        <v>14</v>
      </c>
      <c r="E48" s="4" t="s">
        <v>112</v>
      </c>
      <c r="F48" s="4" t="s">
        <v>113</v>
      </c>
      <c r="G48" s="4">
        <v>2022</v>
      </c>
      <c r="H48" s="4">
        <v>4</v>
      </c>
      <c r="I48" s="5">
        <v>56548</v>
      </c>
      <c r="J48" s="5">
        <f>I48/H48</f>
        <v>14137</v>
      </c>
      <c r="K48" s="4" t="s">
        <v>43</v>
      </c>
      <c r="L48" s="4" t="s">
        <v>84</v>
      </c>
      <c r="M48" s="5">
        <v>60000</v>
      </c>
      <c r="N48" s="4" t="str">
        <f>IF(I48&lt;=M48,"Yes","No")</f>
        <v>Yes</v>
      </c>
      <c r="O48" s="4" t="str">
        <f>CONCATENATE(C48,UPPER(E48),UPPER(LEFT(K48,3)),RIGHT(A48,3))</f>
        <v>MERELANTRASIL047</v>
      </c>
    </row>
    <row r="49" spans="1:15" x14ac:dyDescent="0.3">
      <c r="A49" s="4" t="s">
        <v>134</v>
      </c>
      <c r="B49" s="4" t="s">
        <v>13</v>
      </c>
      <c r="C49" s="4" t="str">
        <f>VLOOKUP(B49,B$74:D$85,3)</f>
        <v>MER</v>
      </c>
      <c r="D49" s="4" t="s">
        <v>14</v>
      </c>
      <c r="E49" s="4" t="s">
        <v>15</v>
      </c>
      <c r="F49" s="4" t="s">
        <v>16</v>
      </c>
      <c r="G49" s="4">
        <v>2021</v>
      </c>
      <c r="H49" s="4">
        <v>5</v>
      </c>
      <c r="I49" s="5">
        <v>54467</v>
      </c>
      <c r="J49" s="5">
        <f>I49/H49</f>
        <v>10893.4</v>
      </c>
      <c r="K49" s="4" t="s">
        <v>90</v>
      </c>
      <c r="L49" s="4" t="s">
        <v>18</v>
      </c>
      <c r="M49" s="5">
        <v>40000</v>
      </c>
      <c r="N49" s="4" t="str">
        <f>IF(I49&lt;=M49,"Yes","No")</f>
        <v>No</v>
      </c>
      <c r="O49" s="4" t="str">
        <f>CONCATENATE(C49,UPPER(E49),UPPER(LEFT(K49,3)),RIGHT(A49,3))</f>
        <v>MERC-CLASSGRE048</v>
      </c>
    </row>
    <row r="50" spans="1:15" x14ac:dyDescent="0.3">
      <c r="A50" s="4" t="s">
        <v>135</v>
      </c>
      <c r="B50" s="4" t="s">
        <v>13</v>
      </c>
      <c r="C50" s="4" t="str">
        <f>VLOOKUP(B50,B$74:D$85,3)</f>
        <v>MER</v>
      </c>
      <c r="D50" s="4" t="s">
        <v>14</v>
      </c>
      <c r="E50" s="4" t="s">
        <v>41</v>
      </c>
      <c r="F50" s="4" t="s">
        <v>42</v>
      </c>
      <c r="G50" s="4">
        <v>2021</v>
      </c>
      <c r="H50" s="4">
        <v>5</v>
      </c>
      <c r="I50" s="5">
        <v>53295</v>
      </c>
      <c r="J50" s="5">
        <f>I50/H50</f>
        <v>10659</v>
      </c>
      <c r="K50" s="4" t="s">
        <v>43</v>
      </c>
      <c r="L50" s="4" t="s">
        <v>126</v>
      </c>
      <c r="M50" s="5">
        <v>30000</v>
      </c>
      <c r="N50" s="4" t="str">
        <f>IF(I50&lt;=M50,"Yes","No")</f>
        <v>No</v>
      </c>
      <c r="O50" s="4" t="str">
        <f>CONCATENATE(C50,UPPER(E50),UPPER(LEFT(K50,3)),RIGHT(A50,3))</f>
        <v>MERSELTOSSIL049</v>
      </c>
    </row>
    <row r="51" spans="1:15" x14ac:dyDescent="0.3">
      <c r="A51" s="4" t="s">
        <v>136</v>
      </c>
      <c r="B51" s="4" t="s">
        <v>13</v>
      </c>
      <c r="C51" s="4" t="str">
        <f>VLOOKUP(B51,B$74:D$85,3)</f>
        <v>MER</v>
      </c>
      <c r="D51" s="4" t="s">
        <v>14</v>
      </c>
      <c r="E51" s="4" t="s">
        <v>41</v>
      </c>
      <c r="F51" s="4" t="s">
        <v>42</v>
      </c>
      <c r="G51" s="4">
        <v>2023</v>
      </c>
      <c r="H51" s="4">
        <v>3</v>
      </c>
      <c r="I51" s="5">
        <v>47991</v>
      </c>
      <c r="J51" s="5">
        <f>I51/H51</f>
        <v>15997</v>
      </c>
      <c r="K51" s="4" t="s">
        <v>17</v>
      </c>
      <c r="L51" s="4" t="s">
        <v>31</v>
      </c>
      <c r="M51" s="5">
        <v>30000</v>
      </c>
      <c r="N51" s="4" t="str">
        <f>IF(I51&lt;=M51,"Yes","No")</f>
        <v>No</v>
      </c>
      <c r="O51" s="4" t="str">
        <f>CONCATENATE(C51,UPPER(E51),UPPER(LEFT(K51,3)),RIGHT(A51,3))</f>
        <v>MERSELTOSRED050</v>
      </c>
    </row>
    <row r="52" spans="1:15" x14ac:dyDescent="0.3">
      <c r="A52" s="4" t="s">
        <v>138</v>
      </c>
      <c r="B52" s="4" t="s">
        <v>13</v>
      </c>
      <c r="C52" s="4" t="str">
        <f>VLOOKUP(B52,B$74:D$85,3)</f>
        <v>MER</v>
      </c>
      <c r="D52" s="4" t="s">
        <v>14</v>
      </c>
      <c r="E52" s="4" t="s">
        <v>99</v>
      </c>
      <c r="F52" s="4" t="s">
        <v>100</v>
      </c>
      <c r="G52" s="4">
        <v>2023</v>
      </c>
      <c r="H52" s="4">
        <v>3</v>
      </c>
      <c r="I52" s="5">
        <v>42031</v>
      </c>
      <c r="J52" s="5">
        <f>I52/H52</f>
        <v>14010.333333333334</v>
      </c>
      <c r="K52" s="4" t="s">
        <v>17</v>
      </c>
      <c r="L52" s="4" t="s">
        <v>106</v>
      </c>
      <c r="M52" s="5">
        <v>75000</v>
      </c>
      <c r="N52" s="4" t="str">
        <f>IF(I52&lt;=M52,"Yes","No")</f>
        <v>Yes</v>
      </c>
      <c r="O52" s="4" t="str">
        <f>CONCATENATE(C52,UPPER(E52),UPPER(LEFT(K52,3)),RIGHT(A52,3))</f>
        <v>MERPOLORED051</v>
      </c>
    </row>
    <row r="53" spans="1:15" x14ac:dyDescent="0.3">
      <c r="A53" s="4" t="s">
        <v>139</v>
      </c>
      <c r="B53" s="4" t="s">
        <v>13</v>
      </c>
      <c r="C53" s="4" t="str">
        <f>VLOOKUP(B53,B$74:D$85,3)</f>
        <v>MER</v>
      </c>
      <c r="D53" s="4" t="s">
        <v>14</v>
      </c>
      <c r="E53" s="4" t="s">
        <v>112</v>
      </c>
      <c r="F53" s="4" t="s">
        <v>113</v>
      </c>
      <c r="G53" s="4">
        <v>2024</v>
      </c>
      <c r="H53" s="4">
        <v>2</v>
      </c>
      <c r="I53" s="5">
        <v>40769</v>
      </c>
      <c r="J53" s="5">
        <f>I53/H53</f>
        <v>20384.5</v>
      </c>
      <c r="K53" s="4" t="s">
        <v>90</v>
      </c>
      <c r="L53" s="4" t="s">
        <v>84</v>
      </c>
      <c r="M53" s="5">
        <v>50000</v>
      </c>
      <c r="N53" s="4" t="str">
        <f>IF(I53&lt;=M53,"Yes","No")</f>
        <v>Yes</v>
      </c>
      <c r="O53" s="4" t="str">
        <f>CONCATENATE(C53,UPPER(E53),UPPER(LEFT(K53,3)),RIGHT(A53,3))</f>
        <v>MERELANTRAGRE052</v>
      </c>
    </row>
    <row r="54" spans="1:15" x14ac:dyDescent="0.3">
      <c r="A54" s="4" t="s">
        <v>140</v>
      </c>
      <c r="B54" s="4" t="s">
        <v>46</v>
      </c>
      <c r="C54" s="4" t="str">
        <f>VLOOKUP(B54,B$74:D$85,3)</f>
        <v>TAT</v>
      </c>
      <c r="D54" s="4" t="s">
        <v>47</v>
      </c>
      <c r="E54" s="4" t="s">
        <v>41</v>
      </c>
      <c r="F54" s="4" t="s">
        <v>42</v>
      </c>
      <c r="G54" s="4">
        <v>2023</v>
      </c>
      <c r="H54" s="4">
        <v>3</v>
      </c>
      <c r="I54" s="5">
        <v>39801</v>
      </c>
      <c r="J54" s="5">
        <f>I54/H54</f>
        <v>13267</v>
      </c>
      <c r="K54" s="4" t="s">
        <v>43</v>
      </c>
      <c r="L54" s="4" t="s">
        <v>44</v>
      </c>
      <c r="M54" s="5">
        <v>30000</v>
      </c>
      <c r="N54" s="4" t="str">
        <f>IF(I54&lt;=M54,"Yes","No")</f>
        <v>No</v>
      </c>
      <c r="O54" s="4" t="str">
        <f>CONCATENATE(C54,UPPER(E54),UPPER(LEFT(K54,3)),RIGHT(A54,3))</f>
        <v>TATSELTOSSIL053</v>
      </c>
    </row>
    <row r="55" spans="1:15" x14ac:dyDescent="0.3">
      <c r="A55" s="4" t="s">
        <v>141</v>
      </c>
      <c r="B55" s="4" t="s">
        <v>46</v>
      </c>
      <c r="C55" s="4" t="str">
        <f>VLOOKUP(B55,B$74:D$85,3)</f>
        <v>TAT</v>
      </c>
      <c r="D55" s="4" t="s">
        <v>47</v>
      </c>
      <c r="E55" s="4" t="s">
        <v>57</v>
      </c>
      <c r="F55" s="4" t="s">
        <v>58</v>
      </c>
      <c r="G55" s="4">
        <v>2022</v>
      </c>
      <c r="H55" s="4">
        <v>4</v>
      </c>
      <c r="I55" s="5">
        <v>38415</v>
      </c>
      <c r="J55" s="5">
        <f>I55/H55</f>
        <v>9603.75</v>
      </c>
      <c r="K55" s="4" t="s">
        <v>17</v>
      </c>
      <c r="L55" s="4" t="s">
        <v>82</v>
      </c>
      <c r="M55" s="5">
        <v>50000</v>
      </c>
      <c r="N55" s="4" t="str">
        <f>IF(I55&lt;=M55,"Yes","No")</f>
        <v>Yes</v>
      </c>
      <c r="O55" s="4" t="str">
        <f>CONCATENATE(C55,UPPER(E55),UPPER(LEFT(K55,3)),RIGHT(A55,3))</f>
        <v>TATA4RED054</v>
      </c>
    </row>
    <row r="56" spans="1:15" x14ac:dyDescent="0.3">
      <c r="A56" s="4" t="s">
        <v>142</v>
      </c>
      <c r="B56" s="4" t="s">
        <v>46</v>
      </c>
      <c r="C56" s="4" t="str">
        <f>VLOOKUP(B56,B$74:D$85,3)</f>
        <v>TAT</v>
      </c>
      <c r="D56" s="4" t="s">
        <v>47</v>
      </c>
      <c r="E56" s="4" t="s">
        <v>29</v>
      </c>
      <c r="F56" s="4" t="s">
        <v>30</v>
      </c>
      <c r="G56" s="4">
        <v>2024</v>
      </c>
      <c r="H56" s="4">
        <v>2</v>
      </c>
      <c r="I56" s="5">
        <v>37353</v>
      </c>
      <c r="J56" s="5">
        <f>I56/H56</f>
        <v>18676.5</v>
      </c>
      <c r="K56" s="4" t="s">
        <v>90</v>
      </c>
      <c r="L56" s="4" t="s">
        <v>108</v>
      </c>
      <c r="M56" s="5">
        <v>60000</v>
      </c>
      <c r="N56" s="4" t="str">
        <f>IF(I56&lt;=M56,"Yes","No")</f>
        <v>Yes</v>
      </c>
      <c r="O56" s="4" t="str">
        <f>CONCATENATE(C56,UPPER(E56),UPPER(LEFT(K56,3)),RIGHT(A56,3))</f>
        <v>TATTHARGRE055</v>
      </c>
    </row>
    <row r="57" spans="1:15" x14ac:dyDescent="0.3">
      <c r="A57" s="4" t="s">
        <v>143</v>
      </c>
      <c r="B57" s="4" t="s">
        <v>46</v>
      </c>
      <c r="C57" s="4" t="str">
        <f>VLOOKUP(B57,B$74:D$85,3)</f>
        <v>TAT</v>
      </c>
      <c r="D57" s="4" t="s">
        <v>47</v>
      </c>
      <c r="E57" s="4" t="s">
        <v>63</v>
      </c>
      <c r="F57" s="4" t="s">
        <v>64</v>
      </c>
      <c r="G57" s="4">
        <v>2024</v>
      </c>
      <c r="H57" s="4">
        <v>2</v>
      </c>
      <c r="I57" s="5">
        <v>36228</v>
      </c>
      <c r="J57" s="5">
        <f>I57/H57</f>
        <v>18114</v>
      </c>
      <c r="K57" s="4" t="s">
        <v>17</v>
      </c>
      <c r="L57" s="4" t="s">
        <v>50</v>
      </c>
      <c r="M57" s="5">
        <v>75000</v>
      </c>
      <c r="N57" s="4" t="str">
        <f>IF(I57&lt;=M57,"Yes","No")</f>
        <v>Yes</v>
      </c>
      <c r="O57" s="4" t="str">
        <f>CONCATENATE(C57,UPPER(E57),UPPER(LEFT(K57,3)),RIGHT(A57,3))</f>
        <v>TATSWIFTRED056</v>
      </c>
    </row>
    <row r="58" spans="1:15" x14ac:dyDescent="0.3">
      <c r="A58" s="4" t="s">
        <v>144</v>
      </c>
      <c r="B58" s="4" t="s">
        <v>46</v>
      </c>
      <c r="C58" s="4" t="str">
        <f>VLOOKUP(B58,B$74:D$85,3)</f>
        <v>TAT</v>
      </c>
      <c r="D58" s="4" t="s">
        <v>47</v>
      </c>
      <c r="E58" s="4" t="s">
        <v>48</v>
      </c>
      <c r="F58" s="4" t="s">
        <v>49</v>
      </c>
      <c r="G58" s="4">
        <v>2021</v>
      </c>
      <c r="H58" s="4">
        <v>5</v>
      </c>
      <c r="I58" s="5">
        <v>35011</v>
      </c>
      <c r="J58" s="5">
        <f>I58/H58</f>
        <v>7002.2</v>
      </c>
      <c r="K58" s="4" t="s">
        <v>52</v>
      </c>
      <c r="L58" s="4" t="s">
        <v>18</v>
      </c>
      <c r="M58" s="5">
        <v>50000</v>
      </c>
      <c r="N58" s="4" t="str">
        <f>IF(I58&lt;=M58,"Yes","No")</f>
        <v>Yes</v>
      </c>
      <c r="O58" s="4" t="str">
        <f>CONCATENATE(C58,UPPER(E58),UPPER(LEFT(K58,3)),RIGHT(A58,3))</f>
        <v>TATNEXONBLU057</v>
      </c>
    </row>
    <row r="59" spans="1:15" x14ac:dyDescent="0.3">
      <c r="A59" s="4" t="s">
        <v>145</v>
      </c>
      <c r="B59" s="4" t="s">
        <v>66</v>
      </c>
      <c r="C59" s="4" t="str">
        <f>VLOOKUP(B59,B$74:D$85,3)</f>
        <v>TOY</v>
      </c>
      <c r="D59" s="4" t="s">
        <v>67</v>
      </c>
      <c r="E59" s="4" t="s">
        <v>48</v>
      </c>
      <c r="F59" s="4" t="s">
        <v>49</v>
      </c>
      <c r="G59" s="4">
        <v>2024</v>
      </c>
      <c r="H59" s="4">
        <v>2</v>
      </c>
      <c r="I59" s="5">
        <v>32966</v>
      </c>
      <c r="J59" s="5">
        <f>I59/H59</f>
        <v>16483</v>
      </c>
      <c r="K59" s="4" t="s">
        <v>75</v>
      </c>
      <c r="L59" s="4" t="s">
        <v>137</v>
      </c>
      <c r="M59" s="5">
        <v>100000</v>
      </c>
      <c r="N59" s="4" t="str">
        <f>IF(I59&lt;=M59,"Yes","No")</f>
        <v>Yes</v>
      </c>
      <c r="O59" s="4" t="str">
        <f>CONCATENATE(C59,UPPER(E59),UPPER(LEFT(K59,3)),RIGHT(A59,3))</f>
        <v>TOYNEXONGRE058</v>
      </c>
    </row>
    <row r="60" spans="1:15" x14ac:dyDescent="0.3">
      <c r="A60" s="4" t="s">
        <v>146</v>
      </c>
      <c r="B60" s="4" t="s">
        <v>66</v>
      </c>
      <c r="C60" s="4" t="str">
        <f>VLOOKUP(B60,B$74:D$85,3)</f>
        <v>TOY</v>
      </c>
      <c r="D60" s="4" t="s">
        <v>67</v>
      </c>
      <c r="E60" s="4" t="s">
        <v>29</v>
      </c>
      <c r="F60" s="4" t="s">
        <v>30</v>
      </c>
      <c r="G60" s="4">
        <v>2024</v>
      </c>
      <c r="H60" s="4">
        <v>2</v>
      </c>
      <c r="I60" s="5">
        <v>29204</v>
      </c>
      <c r="J60" s="5">
        <f>I60/H60</f>
        <v>14602</v>
      </c>
      <c r="K60" s="4" t="s">
        <v>43</v>
      </c>
      <c r="L60" s="4" t="s">
        <v>18</v>
      </c>
      <c r="M60" s="5">
        <v>50000</v>
      </c>
      <c r="N60" s="4" t="str">
        <f>IF(I60&lt;=M60,"Yes","No")</f>
        <v>Yes</v>
      </c>
      <c r="O60" s="4" t="str">
        <f>CONCATENATE(C60,UPPER(E60),UPPER(LEFT(K60,3)),RIGHT(A60,3))</f>
        <v>TOYTHARSIL059</v>
      </c>
    </row>
    <row r="61" spans="1:15" x14ac:dyDescent="0.3">
      <c r="A61" s="4" t="s">
        <v>147</v>
      </c>
      <c r="B61" s="4" t="s">
        <v>66</v>
      </c>
      <c r="C61" s="4" t="str">
        <f>VLOOKUP(B61,B$74:D$85,3)</f>
        <v>TOY</v>
      </c>
      <c r="D61" s="4" t="s">
        <v>67</v>
      </c>
      <c r="E61" s="4" t="s">
        <v>15</v>
      </c>
      <c r="F61" s="4" t="s">
        <v>16</v>
      </c>
      <c r="G61" s="4">
        <v>2022</v>
      </c>
      <c r="H61" s="4">
        <v>4</v>
      </c>
      <c r="I61" s="5">
        <v>27728</v>
      </c>
      <c r="J61" s="5">
        <f>I61/H61</f>
        <v>6932</v>
      </c>
      <c r="K61" s="4" t="s">
        <v>43</v>
      </c>
      <c r="L61" s="4" t="s">
        <v>44</v>
      </c>
      <c r="M61" s="5">
        <v>40000</v>
      </c>
      <c r="N61" s="4" t="str">
        <f>IF(I61&lt;=M61,"Yes","No")</f>
        <v>Yes</v>
      </c>
      <c r="O61" s="4" t="str">
        <f>CONCATENATE(C61,UPPER(E61),UPPER(LEFT(K61,3)),RIGHT(A61,3))</f>
        <v>TOYC-CLASSSIL060</v>
      </c>
    </row>
    <row r="62" spans="1:15" x14ac:dyDescent="0.3">
      <c r="A62" s="4" t="s">
        <v>148</v>
      </c>
      <c r="B62" s="4" t="s">
        <v>66</v>
      </c>
      <c r="C62" s="4" t="str">
        <f>VLOOKUP(B62,B$74:D$85,3)</f>
        <v>TOY</v>
      </c>
      <c r="D62" s="4" t="s">
        <v>67</v>
      </c>
      <c r="E62" s="4" t="s">
        <v>68</v>
      </c>
      <c r="F62" s="4" t="s">
        <v>69</v>
      </c>
      <c r="G62" s="4">
        <v>2024</v>
      </c>
      <c r="H62" s="4">
        <v>2</v>
      </c>
      <c r="I62" s="5">
        <v>26798</v>
      </c>
      <c r="J62" s="5">
        <f>I62/H62</f>
        <v>13399</v>
      </c>
      <c r="K62" s="4" t="s">
        <v>24</v>
      </c>
      <c r="L62" s="4" t="s">
        <v>18</v>
      </c>
      <c r="M62" s="5">
        <v>50000</v>
      </c>
      <c r="N62" s="4" t="str">
        <f>IF(I62&lt;=M62,"Yes","No")</f>
        <v>Yes</v>
      </c>
      <c r="O62" s="4" t="str">
        <f>CONCATENATE(C62,UPPER(E62),UPPER(LEFT(K62,3)),RIGHT(A62,3))</f>
        <v>TOYCAMRYBLA061</v>
      </c>
    </row>
    <row r="63" spans="1:15" x14ac:dyDescent="0.3">
      <c r="A63" s="4" t="s">
        <v>149</v>
      </c>
      <c r="B63" s="4" t="s">
        <v>66</v>
      </c>
      <c r="C63" s="4" t="str">
        <f>VLOOKUP(B63,B$74:D$85,3)</f>
        <v>TOY</v>
      </c>
      <c r="D63" s="4" t="s">
        <v>67</v>
      </c>
      <c r="E63" s="4" t="s">
        <v>15</v>
      </c>
      <c r="F63" s="4" t="s">
        <v>16</v>
      </c>
      <c r="G63" s="4">
        <v>2024</v>
      </c>
      <c r="H63" s="4">
        <v>2</v>
      </c>
      <c r="I63" s="5">
        <v>26575</v>
      </c>
      <c r="J63" s="5">
        <f>I63/H63</f>
        <v>13287.5</v>
      </c>
      <c r="K63" s="4" t="s">
        <v>24</v>
      </c>
      <c r="L63" s="4" t="s">
        <v>137</v>
      </c>
      <c r="M63" s="5">
        <v>50000</v>
      </c>
      <c r="N63" s="4" t="str">
        <f>IF(I63&lt;=M63,"Yes","No")</f>
        <v>Yes</v>
      </c>
      <c r="O63" s="4" t="str">
        <f>CONCATENATE(C63,UPPER(E63),UPPER(LEFT(K63,3)),RIGHT(A63,3))</f>
        <v>TOYC-CLASSBLA062</v>
      </c>
    </row>
    <row r="64" spans="1:15" x14ac:dyDescent="0.3">
      <c r="A64" s="4" t="s">
        <v>150</v>
      </c>
      <c r="B64" s="4" t="s">
        <v>66</v>
      </c>
      <c r="C64" s="4" t="str">
        <f>VLOOKUP(B64,B$74:D$85,3)</f>
        <v>TOY</v>
      </c>
      <c r="D64" s="4" t="s">
        <v>67</v>
      </c>
      <c r="E64" s="4" t="s">
        <v>112</v>
      </c>
      <c r="F64" s="4" t="s">
        <v>113</v>
      </c>
      <c r="G64" s="4">
        <v>2024</v>
      </c>
      <c r="H64" s="4">
        <v>2</v>
      </c>
      <c r="I64" s="5">
        <v>25249</v>
      </c>
      <c r="J64" s="5">
        <f>I64/H64</f>
        <v>12624.5</v>
      </c>
      <c r="K64" s="4" t="s">
        <v>37</v>
      </c>
      <c r="L64" s="4" t="s">
        <v>129</v>
      </c>
      <c r="M64" s="5">
        <v>50000</v>
      </c>
      <c r="N64" s="4" t="str">
        <f>IF(I64&lt;=M64,"Yes","No")</f>
        <v>Yes</v>
      </c>
      <c r="O64" s="4" t="str">
        <f>CONCATENATE(C64,UPPER(E64),UPPER(LEFT(K64,3)),RIGHT(A64,3))</f>
        <v>TOYELANTRABRO063</v>
      </c>
    </row>
    <row r="65" spans="1:15" x14ac:dyDescent="0.3">
      <c r="A65" s="4" t="s">
        <v>151</v>
      </c>
      <c r="B65" s="4" t="s">
        <v>66</v>
      </c>
      <c r="C65" s="4" t="str">
        <f>VLOOKUP(B65,B$74:D$85,3)</f>
        <v>TOY</v>
      </c>
      <c r="D65" s="4" t="s">
        <v>67</v>
      </c>
      <c r="E65" s="4" t="s">
        <v>68</v>
      </c>
      <c r="F65" s="4" t="s">
        <v>69</v>
      </c>
      <c r="G65" s="4">
        <v>2024</v>
      </c>
      <c r="H65" s="4">
        <v>2</v>
      </c>
      <c r="I65" s="5">
        <v>22336</v>
      </c>
      <c r="J65" s="5">
        <f>I65/H65</f>
        <v>11168</v>
      </c>
      <c r="K65" s="4" t="s">
        <v>52</v>
      </c>
      <c r="L65" s="4" t="s">
        <v>82</v>
      </c>
      <c r="M65" s="5">
        <v>75000</v>
      </c>
      <c r="N65" s="4" t="str">
        <f>IF(I65&lt;=M65,"Yes","No")</f>
        <v>Yes</v>
      </c>
      <c r="O65" s="4" t="str">
        <f>CONCATENATE(C65,UPPER(E65),UPPER(LEFT(K65,3)),RIGHT(A65,3))</f>
        <v>TOYCAMRYBLU064</v>
      </c>
    </row>
    <row r="66" spans="1:15" x14ac:dyDescent="0.3">
      <c r="A66" s="4" t="s">
        <v>152</v>
      </c>
      <c r="B66" s="4" t="s">
        <v>66</v>
      </c>
      <c r="C66" s="4" t="str">
        <f>VLOOKUP(B66,B$74:D$85,3)</f>
        <v>TOY</v>
      </c>
      <c r="D66" s="4" t="s">
        <v>67</v>
      </c>
      <c r="E66" s="4" t="s">
        <v>57</v>
      </c>
      <c r="F66" s="4" t="s">
        <v>58</v>
      </c>
      <c r="G66" s="4">
        <v>2025</v>
      </c>
      <c r="H66" s="4">
        <v>1</v>
      </c>
      <c r="I66" s="5">
        <v>21027</v>
      </c>
      <c r="J66" s="5">
        <f>I66/H66</f>
        <v>21027</v>
      </c>
      <c r="K66" s="4" t="s">
        <v>90</v>
      </c>
      <c r="L66" s="4" t="s">
        <v>129</v>
      </c>
      <c r="M66" s="5">
        <v>100000</v>
      </c>
      <c r="N66" s="4" t="str">
        <f>IF(I66&lt;=M66,"Yes","No")</f>
        <v>Yes</v>
      </c>
      <c r="O66" s="4" t="str">
        <f>CONCATENATE(C66,UPPER(E66),UPPER(LEFT(K66,3)),RIGHT(A66,3))</f>
        <v>TOYA4GRE065</v>
      </c>
    </row>
    <row r="67" spans="1:15" x14ac:dyDescent="0.3">
      <c r="A67" s="4" t="s">
        <v>153</v>
      </c>
      <c r="B67" s="4" t="s">
        <v>97</v>
      </c>
      <c r="C67" s="4" t="str">
        <f>VLOOKUP(B67,B$74:D$85,3)</f>
        <v>VW</v>
      </c>
      <c r="D67" s="4" t="s">
        <v>98</v>
      </c>
      <c r="E67" s="4" t="s">
        <v>29</v>
      </c>
      <c r="F67" s="4" t="s">
        <v>30</v>
      </c>
      <c r="G67" s="4">
        <v>2025</v>
      </c>
      <c r="H67" s="4">
        <v>1</v>
      </c>
      <c r="I67" s="5">
        <v>18617</v>
      </c>
      <c r="J67" s="5">
        <f>I67/H67</f>
        <v>18617</v>
      </c>
      <c r="K67" s="4" t="s">
        <v>17</v>
      </c>
      <c r="L67" s="4" t="s">
        <v>121</v>
      </c>
      <c r="M67" s="5">
        <v>30000</v>
      </c>
      <c r="N67" s="4" t="str">
        <f>IF(I67&lt;=M67,"Yes","No")</f>
        <v>Yes</v>
      </c>
      <c r="O67" s="4" t="str">
        <f>CONCATENATE(C67,UPPER(E67),UPPER(LEFT(K67,3)),RIGHT(A67,3))</f>
        <v>VWTHARRED066</v>
      </c>
    </row>
    <row r="68" spans="1:15" x14ac:dyDescent="0.3">
      <c r="A68" s="4" t="s">
        <v>154</v>
      </c>
      <c r="B68" s="4" t="s">
        <v>97</v>
      </c>
      <c r="C68" s="4" t="str">
        <f>VLOOKUP(B68,B$74:D$85,3)</f>
        <v>VW</v>
      </c>
      <c r="D68" s="4" t="s">
        <v>98</v>
      </c>
      <c r="E68" s="4" t="s">
        <v>22</v>
      </c>
      <c r="F68" s="4" t="s">
        <v>23</v>
      </c>
      <c r="G68" s="4">
        <v>2025</v>
      </c>
      <c r="H68" s="4">
        <v>1</v>
      </c>
      <c r="I68" s="5">
        <v>18351</v>
      </c>
      <c r="J68" s="5">
        <f>I68/H68</f>
        <v>18351</v>
      </c>
      <c r="K68" s="4" t="s">
        <v>17</v>
      </c>
      <c r="L68" s="4" t="s">
        <v>84</v>
      </c>
      <c r="M68" s="5">
        <v>60000</v>
      </c>
      <c r="N68" s="4" t="str">
        <f>IF(I68&lt;=M68,"Yes","No")</f>
        <v>Yes</v>
      </c>
      <c r="O68" s="4" t="str">
        <f>CONCATENATE(C68,UPPER(E68),UPPER(LEFT(K68,3)),RIGHT(A68,3))</f>
        <v>VWFOCUSRED067</v>
      </c>
    </row>
    <row r="69" spans="1:15" x14ac:dyDescent="0.3">
      <c r="A69" s="4" t="s">
        <v>155</v>
      </c>
      <c r="B69" s="4" t="s">
        <v>97</v>
      </c>
      <c r="C69" s="4" t="str">
        <f>VLOOKUP(B69,B$74:D$85,3)</f>
        <v>VW</v>
      </c>
      <c r="D69" s="4" t="s">
        <v>98</v>
      </c>
      <c r="E69" s="4" t="s">
        <v>63</v>
      </c>
      <c r="F69" s="4" t="s">
        <v>64</v>
      </c>
      <c r="G69" s="4">
        <v>2024</v>
      </c>
      <c r="H69" s="4">
        <v>2</v>
      </c>
      <c r="I69" s="5">
        <v>17494</v>
      </c>
      <c r="J69" s="5">
        <f>I69/H69</f>
        <v>8747</v>
      </c>
      <c r="K69" s="4" t="s">
        <v>24</v>
      </c>
      <c r="L69" s="4" t="s">
        <v>108</v>
      </c>
      <c r="M69" s="5">
        <v>50000</v>
      </c>
      <c r="N69" s="4" t="str">
        <f>IF(I69&lt;=M69,"Yes","No")</f>
        <v>Yes</v>
      </c>
      <c r="O69" s="4" t="str">
        <f>CONCATENATE(C69,UPPER(E69),UPPER(LEFT(K69,3)),RIGHT(A69,3))</f>
        <v>VWSWIFTBLA068</v>
      </c>
    </row>
    <row r="70" spans="1:15" x14ac:dyDescent="0.3">
      <c r="A70" s="4" t="s">
        <v>156</v>
      </c>
      <c r="B70" s="4" t="s">
        <v>97</v>
      </c>
      <c r="C70" s="4" t="str">
        <f>VLOOKUP(B70,B$74:D$85,3)</f>
        <v>VW</v>
      </c>
      <c r="D70" s="4" t="s">
        <v>98</v>
      </c>
      <c r="E70" s="4" t="s">
        <v>22</v>
      </c>
      <c r="F70" s="4" t="s">
        <v>23</v>
      </c>
      <c r="G70" s="4">
        <v>2025</v>
      </c>
      <c r="H70" s="4">
        <v>1</v>
      </c>
      <c r="I70" s="5">
        <v>13722</v>
      </c>
      <c r="J70" s="5">
        <f>I70/H70</f>
        <v>13722</v>
      </c>
      <c r="K70" s="4" t="s">
        <v>24</v>
      </c>
      <c r="L70" s="4" t="s">
        <v>25</v>
      </c>
      <c r="M70" s="5">
        <v>100000</v>
      </c>
      <c r="N70" s="4" t="str">
        <f>IF(I70&lt;=M70,"Yes","No")</f>
        <v>Yes</v>
      </c>
      <c r="O70" s="4" t="str">
        <f>CONCATENATE(C70,UPPER(E70),UPPER(LEFT(K70,3)),RIGHT(A70,3))</f>
        <v>VWFOCUSBLA069</v>
      </c>
    </row>
    <row r="71" spans="1:15" x14ac:dyDescent="0.3">
      <c r="A71" s="4" t="s">
        <v>157</v>
      </c>
      <c r="B71" s="4" t="s">
        <v>97</v>
      </c>
      <c r="C71" s="4" t="str">
        <f>VLOOKUP(B71,B$74:D$85,3)</f>
        <v>VW</v>
      </c>
      <c r="D71" s="4" t="s">
        <v>98</v>
      </c>
      <c r="E71" s="4" t="s">
        <v>22</v>
      </c>
      <c r="F71" s="4" t="s">
        <v>23</v>
      </c>
      <c r="G71" s="4">
        <v>2025</v>
      </c>
      <c r="H71" s="4">
        <v>1</v>
      </c>
      <c r="I71" s="5">
        <v>11404</v>
      </c>
      <c r="J71" s="5">
        <f>I71/H71</f>
        <v>11404</v>
      </c>
      <c r="K71" s="4" t="s">
        <v>90</v>
      </c>
      <c r="L71" s="4" t="s">
        <v>18</v>
      </c>
      <c r="M71" s="5">
        <v>30000</v>
      </c>
      <c r="N71" s="4" t="str">
        <f>IF(I71&lt;=M71,"Yes","No")</f>
        <v>Yes</v>
      </c>
      <c r="O71" s="4" t="str">
        <f>CONCATENATE(C71,UPPER(E71),UPPER(LEFT(K71,3)),RIGHT(A71,3))</f>
        <v>VWFOCUSGRE070</v>
      </c>
    </row>
    <row r="74" spans="1:15" x14ac:dyDescent="0.3">
      <c r="B74" s="2" t="s">
        <v>55</v>
      </c>
      <c r="D74" s="2" t="s">
        <v>159</v>
      </c>
    </row>
    <row r="75" spans="1:15" x14ac:dyDescent="0.3">
      <c r="B75" s="2" t="s">
        <v>33</v>
      </c>
      <c r="D75" s="2" t="s">
        <v>33</v>
      </c>
    </row>
    <row r="76" spans="1:15" x14ac:dyDescent="0.3">
      <c r="B76" s="2" t="s">
        <v>20</v>
      </c>
      <c r="D76" s="2" t="s">
        <v>160</v>
      </c>
    </row>
    <row r="77" spans="1:15" x14ac:dyDescent="0.3">
      <c r="B77" s="2" t="s">
        <v>71</v>
      </c>
      <c r="D77" s="2" t="s">
        <v>161</v>
      </c>
    </row>
    <row r="78" spans="1:15" x14ac:dyDescent="0.3">
      <c r="B78" s="2" t="s">
        <v>110</v>
      </c>
      <c r="D78" s="2" t="s">
        <v>162</v>
      </c>
    </row>
    <row r="79" spans="1:15" x14ac:dyDescent="0.3">
      <c r="B79" s="2" t="s">
        <v>39</v>
      </c>
      <c r="D79" s="2" t="s">
        <v>163</v>
      </c>
    </row>
    <row r="80" spans="1:15" x14ac:dyDescent="0.3">
      <c r="B80" s="2" t="s">
        <v>27</v>
      </c>
      <c r="D80" s="2" t="s">
        <v>164</v>
      </c>
    </row>
    <row r="81" spans="2:4" x14ac:dyDescent="0.3">
      <c r="B81" s="2" t="s">
        <v>61</v>
      </c>
      <c r="D81" s="2" t="s">
        <v>165</v>
      </c>
    </row>
    <row r="82" spans="2:4" x14ac:dyDescent="0.3">
      <c r="B82" s="2" t="s">
        <v>13</v>
      </c>
      <c r="D82" s="2" t="s">
        <v>166</v>
      </c>
    </row>
    <row r="83" spans="2:4" x14ac:dyDescent="0.3">
      <c r="B83" s="2" t="s">
        <v>46</v>
      </c>
      <c r="D83" s="2" t="s">
        <v>167</v>
      </c>
    </row>
    <row r="84" spans="2:4" x14ac:dyDescent="0.3">
      <c r="B84" s="2" t="s">
        <v>66</v>
      </c>
      <c r="D84" s="2" t="s">
        <v>168</v>
      </c>
    </row>
    <row r="85" spans="2:4" x14ac:dyDescent="0.3">
      <c r="B85" s="2" t="s">
        <v>97</v>
      </c>
      <c r="D85" s="2" t="s">
        <v>169</v>
      </c>
    </row>
  </sheetData>
  <sortState xmlns:xlrd2="http://schemas.microsoft.com/office/spreadsheetml/2017/richdata2" ref="E2:O71">
    <sortCondition descending="1" ref="I2:I71"/>
  </sortState>
  <conditionalFormatting sqref="I2:I7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Table</vt:lpstr>
      <vt:lpstr>Loan</vt:lpstr>
      <vt:lpstr>SchoolShopping</vt:lpstr>
      <vt:lpstr>petExpense</vt:lpstr>
      <vt:lpstr>VacationSuggestion</vt:lpstr>
      <vt:lpstr>car_database_raw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Raj</dc:creator>
  <cp:lastModifiedBy>Kritika Raj</cp:lastModifiedBy>
  <dcterms:created xsi:type="dcterms:W3CDTF">2026-09-07T14:43:55Z</dcterms:created>
  <dcterms:modified xsi:type="dcterms:W3CDTF">2026-09-07T17:12:43Z</dcterms:modified>
</cp:coreProperties>
</file>