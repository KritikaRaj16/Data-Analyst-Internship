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is\"/>
    </mc:Choice>
  </mc:AlternateContent>
  <xr:revisionPtr revIDLastSave="0" documentId="8_{3DC20EC0-D0D9-4217-8F56-DE96E629C39B}" xr6:coauthVersionLast="47" xr6:coauthVersionMax="47" xr10:uidLastSave="{00000000-0000-0000-0000-000000000000}"/>
  <bookViews>
    <workbookView xWindow="-108" yWindow="-108" windowWidth="23256" windowHeight="13176" activeTab="4" xr2:uid="{81C37A80-71CD-4AB5-B1B5-45796B6190CA}"/>
  </bookViews>
  <sheets>
    <sheet name="Payroll" sheetId="1" r:id="rId1"/>
    <sheet name="GradeBook" sheetId="2" r:id="rId2"/>
    <sheet name="CareerDecision" sheetId="3" r:id="rId3"/>
    <sheet name="SalesReport2" sheetId="5" r:id="rId4"/>
    <sheet name="SalesReport" sheetId="4" r:id="rId5"/>
  </sheets>
  <definedNames>
    <definedName name="_xlnm._FilterDatabase" localSheetId="4" hidden="1">SalesReport!$A$1:$K$161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5" i="4" l="1"/>
  <c r="F164" i="4"/>
  <c r="F163" i="4"/>
  <c r="H68" i="4"/>
  <c r="H69" i="4"/>
  <c r="H140" i="4"/>
  <c r="H141" i="4"/>
  <c r="H142" i="4"/>
  <c r="H153" i="4"/>
  <c r="G3" i="4"/>
  <c r="H3" i="4" s="1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G69" i="4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G79" i="4"/>
  <c r="H79" i="4" s="1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H90" i="4" s="1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H100" i="4" s="1"/>
  <c r="G101" i="4"/>
  <c r="H101" i="4" s="1"/>
  <c r="G102" i="4"/>
  <c r="H102" i="4" s="1"/>
  <c r="G103" i="4"/>
  <c r="H103" i="4" s="1"/>
  <c r="G104" i="4"/>
  <c r="H104" i="4" s="1"/>
  <c r="G105" i="4"/>
  <c r="H105" i="4" s="1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28" i="4"/>
  <c r="H128" i="4" s="1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H137" i="4" s="1"/>
  <c r="G138" i="4"/>
  <c r="H138" i="4" s="1"/>
  <c r="G139" i="4"/>
  <c r="H139" i="4" s="1"/>
  <c r="G140" i="4"/>
  <c r="G141" i="4"/>
  <c r="G142" i="4"/>
  <c r="G143" i="4"/>
  <c r="H143" i="4" s="1"/>
  <c r="G144" i="4"/>
  <c r="H144" i="4" s="1"/>
  <c r="G145" i="4"/>
  <c r="H145" i="4" s="1"/>
  <c r="G146" i="4"/>
  <c r="H146" i="4" s="1"/>
  <c r="G147" i="4"/>
  <c r="H147" i="4" s="1"/>
  <c r="G148" i="4"/>
  <c r="H148" i="4" s="1"/>
  <c r="G149" i="4"/>
  <c r="H149" i="4" s="1"/>
  <c r="G150" i="4"/>
  <c r="H150" i="4" s="1"/>
  <c r="G151" i="4"/>
  <c r="H151" i="4" s="1"/>
  <c r="G152" i="4"/>
  <c r="H152" i="4" s="1"/>
  <c r="G153" i="4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H161" i="4" s="1"/>
  <c r="G2" i="4"/>
  <c r="H2" i="4" s="1"/>
  <c r="L5" i="3"/>
  <c r="L6" i="3"/>
  <c r="L7" i="3"/>
  <c r="L8" i="3"/>
  <c r="L4" i="3"/>
  <c r="E6" i="3"/>
  <c r="E5" i="3"/>
  <c r="E4" i="3"/>
  <c r="K8" i="3"/>
  <c r="K7" i="3"/>
  <c r="K6" i="3"/>
  <c r="K5" i="3"/>
  <c r="K4" i="3"/>
  <c r="I8" i="3"/>
  <c r="I7" i="3"/>
  <c r="I6" i="3"/>
  <c r="I5" i="3"/>
  <c r="I4" i="3"/>
  <c r="G8" i="3"/>
  <c r="G7" i="3"/>
  <c r="G6" i="3"/>
  <c r="G5" i="3"/>
  <c r="G4" i="3"/>
  <c r="E8" i="3"/>
  <c r="E7" i="3"/>
  <c r="C4" i="3"/>
  <c r="C5" i="3"/>
  <c r="C6" i="3"/>
  <c r="C7" i="3"/>
  <c r="C8" i="3"/>
  <c r="K27" i="2"/>
  <c r="J27" i="2"/>
  <c r="I27" i="2"/>
  <c r="K26" i="2"/>
  <c r="J26" i="2"/>
  <c r="I26" i="2"/>
  <c r="K25" i="2"/>
  <c r="J25" i="2"/>
  <c r="I25" i="2"/>
  <c r="E27" i="2"/>
  <c r="D25" i="2"/>
  <c r="C25" i="2"/>
  <c r="E26" i="2"/>
  <c r="E25" i="2"/>
  <c r="D27" i="2"/>
  <c r="D26" i="2"/>
  <c r="C27" i="2"/>
  <c r="C26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4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J4" i="2"/>
  <c r="K4" i="2"/>
  <c r="J5" i="2"/>
  <c r="K5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4" i="2"/>
  <c r="C28" i="1"/>
  <c r="N26" i="1"/>
  <c r="N25" i="1"/>
  <c r="AB28" i="1"/>
  <c r="AB27" i="1"/>
  <c r="AB26" i="1"/>
  <c r="AB25" i="1"/>
  <c r="AA27" i="1"/>
  <c r="AA26" i="1"/>
  <c r="AA25" i="1"/>
  <c r="Z27" i="1"/>
  <c r="Z26" i="1"/>
  <c r="Z25" i="1"/>
  <c r="Y27" i="1"/>
  <c r="Y26" i="1"/>
  <c r="Y25" i="1"/>
  <c r="X27" i="1"/>
  <c r="X26" i="1"/>
  <c r="X25" i="1"/>
  <c r="W27" i="1"/>
  <c r="W26" i="1"/>
  <c r="W25" i="1"/>
  <c r="V27" i="1"/>
  <c r="V26" i="1"/>
  <c r="V25" i="1"/>
  <c r="U27" i="1"/>
  <c r="U26" i="1"/>
  <c r="U25" i="1"/>
  <c r="T27" i="1"/>
  <c r="T26" i="1"/>
  <c r="T25" i="1"/>
  <c r="S27" i="1"/>
  <c r="S26" i="1"/>
  <c r="S25" i="1"/>
  <c r="R27" i="1"/>
  <c r="R26" i="1"/>
  <c r="R25" i="1"/>
  <c r="Q27" i="1"/>
  <c r="Q26" i="1"/>
  <c r="Q25" i="1"/>
  <c r="P27" i="1"/>
  <c r="P26" i="1"/>
  <c r="P25" i="1"/>
  <c r="O27" i="1"/>
  <c r="O26" i="1"/>
  <c r="O25" i="1"/>
  <c r="N27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4" i="1"/>
  <c r="X4" i="1"/>
  <c r="W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Y3" i="1"/>
  <c r="Z3" i="1" s="1"/>
  <c r="AA3" i="1" s="1"/>
  <c r="X3" i="1"/>
  <c r="R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T3" i="1" l="1"/>
  <c r="U3" i="1"/>
  <c r="V3" i="1"/>
  <c r="S3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M4" i="1"/>
  <c r="N3" i="1"/>
  <c r="O3" i="1" s="1"/>
  <c r="P3" i="1" s="1"/>
  <c r="Q3" i="1" s="1"/>
  <c r="J4" i="1"/>
  <c r="J9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8" i="1"/>
  <c r="J7" i="1"/>
  <c r="J6" i="1"/>
  <c r="J5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J3" i="1"/>
  <c r="K3" i="1" s="1"/>
  <c r="L3" i="1" s="1"/>
  <c r="I3" i="1"/>
  <c r="C27" i="1"/>
  <c r="C26" i="1"/>
  <c r="C25" i="1"/>
  <c r="B27" i="1"/>
  <c r="B26" i="1"/>
  <c r="B25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W20" i="1" s="1"/>
  <c r="M21" i="1"/>
  <c r="W21" i="1" s="1"/>
  <c r="M22" i="1"/>
  <c r="M23" i="1"/>
  <c r="W9" i="1" l="1"/>
  <c r="W7" i="1"/>
  <c r="W8" i="1"/>
  <c r="W19" i="1"/>
  <c r="W18" i="1"/>
  <c r="W6" i="1"/>
  <c r="W14" i="1"/>
  <c r="W12" i="1"/>
  <c r="W11" i="1"/>
  <c r="W23" i="1"/>
  <c r="W22" i="1"/>
  <c r="W10" i="1"/>
  <c r="W13" i="1"/>
  <c r="W17" i="1"/>
  <c r="W16" i="1"/>
  <c r="W5" i="1"/>
  <c r="W15" i="1"/>
  <c r="M25" i="1"/>
  <c r="M26" i="1"/>
  <c r="M27" i="1"/>
</calcChain>
</file>

<file path=xl/sharedStrings.xml><?xml version="1.0" encoding="utf-8"?>
<sst xmlns="http://schemas.openxmlformats.org/spreadsheetml/2006/main" count="1249" uniqueCount="310">
  <si>
    <t>Employee Payroll</t>
  </si>
  <si>
    <t>Hourly Wage</t>
  </si>
  <si>
    <t>Name</t>
  </si>
  <si>
    <t>Aarav Sharma</t>
  </si>
  <si>
    <t>Priya Singh</t>
  </si>
  <si>
    <t>Rahul Kumar</t>
  </si>
  <si>
    <t>Ananya Verma</t>
  </si>
  <si>
    <t>Rohan Gupta</t>
  </si>
  <si>
    <t>Sneha Das</t>
  </si>
  <si>
    <t>Aditya Mehta</t>
  </si>
  <si>
    <t>Neha Kumari</t>
  </si>
  <si>
    <t>Vikram Patel</t>
  </si>
  <si>
    <t>Ishita Roy</t>
  </si>
  <si>
    <t>Karan Singh</t>
  </si>
  <si>
    <t>Riya Sharma</t>
  </si>
  <si>
    <t>Arjun Das</t>
  </si>
  <si>
    <t>Pooja Gupta</t>
  </si>
  <si>
    <t>Nikhil Verma</t>
  </si>
  <si>
    <t>Simran Kaur</t>
  </si>
  <si>
    <t>Manish Kumar</t>
  </si>
  <si>
    <t>Kavya Singh</t>
  </si>
  <si>
    <t>Sahil Raj</t>
  </si>
  <si>
    <t>Tanya Mehta</t>
  </si>
  <si>
    <t>Max</t>
  </si>
  <si>
    <t>Min</t>
  </si>
  <si>
    <t>Average</t>
  </si>
  <si>
    <t>Total</t>
  </si>
  <si>
    <t>Overtime Hr</t>
  </si>
  <si>
    <t>Pay</t>
  </si>
  <si>
    <t>Overtime Bonus</t>
  </si>
  <si>
    <t>Hours Worked</t>
  </si>
  <si>
    <t xml:space="preserve">Total </t>
  </si>
  <si>
    <t>Jan Pay</t>
  </si>
  <si>
    <t>First Name</t>
  </si>
  <si>
    <t>Last Name</t>
  </si>
  <si>
    <t>Safety Test</t>
  </si>
  <si>
    <t>Company Philosophy Test</t>
  </si>
  <si>
    <t>Financial Skill Test</t>
  </si>
  <si>
    <t>Drug Test</t>
  </si>
  <si>
    <t>Aarav</t>
  </si>
  <si>
    <t>Sharma</t>
  </si>
  <si>
    <t>Priya</t>
  </si>
  <si>
    <t>Verma</t>
  </si>
  <si>
    <t>Rohan</t>
  </si>
  <si>
    <t>Singh</t>
  </si>
  <si>
    <t>Ananya</t>
  </si>
  <si>
    <t>Gupta</t>
  </si>
  <si>
    <t>Vikram</t>
  </si>
  <si>
    <t>Kumar</t>
  </si>
  <si>
    <t>Neha</t>
  </si>
  <si>
    <t>Mehta</t>
  </si>
  <si>
    <t>Aditya</t>
  </si>
  <si>
    <t>Roy</t>
  </si>
  <si>
    <t>Sneha</t>
  </si>
  <si>
    <t>Sinha</t>
  </si>
  <si>
    <t>Rahul</t>
  </si>
  <si>
    <t>Mishra</t>
  </si>
  <si>
    <t>Kavya</t>
  </si>
  <si>
    <t>Patel</t>
  </si>
  <si>
    <t>Arjun</t>
  </si>
  <si>
    <t>Das</t>
  </si>
  <si>
    <t>Ishita</t>
  </si>
  <si>
    <t>Jain</t>
  </si>
  <si>
    <t>Manish</t>
  </si>
  <si>
    <t>Pooja</t>
  </si>
  <si>
    <t>Karan</t>
  </si>
  <si>
    <t>Shah</t>
  </si>
  <si>
    <t>Simran</t>
  </si>
  <si>
    <t>Kaur</t>
  </si>
  <si>
    <t>Nikhil</t>
  </si>
  <si>
    <t>Choudhary</t>
  </si>
  <si>
    <t>Riya</t>
  </si>
  <si>
    <t>Agarwal</t>
  </si>
  <si>
    <t>Saurabh</t>
  </si>
  <si>
    <t>Thakur</t>
  </si>
  <si>
    <t>Meera</t>
  </si>
  <si>
    <t>Nair</t>
  </si>
  <si>
    <t>GradeBook</t>
  </si>
  <si>
    <t>Max Points</t>
  </si>
  <si>
    <t>Fire Employee?</t>
  </si>
  <si>
    <t>Career Decision Time</t>
  </si>
  <si>
    <t>Job</t>
  </si>
  <si>
    <t>Job Market</t>
  </si>
  <si>
    <t>Enjoyment</t>
  </si>
  <si>
    <t>My Talent</t>
  </si>
  <si>
    <t>Schooling</t>
  </si>
  <si>
    <t>KFC Manager</t>
  </si>
  <si>
    <t>Doctor</t>
  </si>
  <si>
    <t>Engineer</t>
  </si>
  <si>
    <t>Dancer</t>
  </si>
  <si>
    <t>Teacher</t>
  </si>
  <si>
    <t>Month</t>
  </si>
  <si>
    <t>Transaction No</t>
  </si>
  <si>
    <t>Product Code</t>
  </si>
  <si>
    <t>Product Description</t>
  </si>
  <si>
    <t>Store Cost</t>
  </si>
  <si>
    <t>Sale Price</t>
  </si>
  <si>
    <t>Profit</t>
  </si>
  <si>
    <t>Sale Location</t>
  </si>
  <si>
    <t>January</t>
  </si>
  <si>
    <t>TXN10001</t>
  </si>
  <si>
    <t>P1006</t>
  </si>
  <si>
    <t>Laser Projector</t>
  </si>
  <si>
    <t>Kolkata</t>
  </si>
  <si>
    <t>February</t>
  </si>
  <si>
    <t>TXN10002</t>
  </si>
  <si>
    <t>P1001</t>
  </si>
  <si>
    <t>Laptop Pro 14</t>
  </si>
  <si>
    <t>Bokaro</t>
  </si>
  <si>
    <t>March</t>
  </si>
  <si>
    <t>TXN10003</t>
  </si>
  <si>
    <t>P1010</t>
  </si>
  <si>
    <t>Network Router</t>
  </si>
  <si>
    <t>Jamshedpur</t>
  </si>
  <si>
    <t>April</t>
  </si>
  <si>
    <t>TXN10004</t>
  </si>
  <si>
    <t>Dhanbad</t>
  </si>
  <si>
    <t>May</t>
  </si>
  <si>
    <t>TXN10005</t>
  </si>
  <si>
    <t>P1002</t>
  </si>
  <si>
    <t>Office Monitor 24</t>
  </si>
  <si>
    <t>Patna</t>
  </si>
  <si>
    <t>June</t>
  </si>
  <si>
    <t>TXN10006</t>
  </si>
  <si>
    <t>P1007</t>
  </si>
  <si>
    <t>Desktop Computer</t>
  </si>
  <si>
    <t>Ranchi</t>
  </si>
  <si>
    <t>July</t>
  </si>
  <si>
    <t>TXN10007</t>
  </si>
  <si>
    <t>P1004</t>
  </si>
  <si>
    <t>Office Chair</t>
  </si>
  <si>
    <t>August</t>
  </si>
  <si>
    <t>TXN10008</t>
  </si>
  <si>
    <t>September</t>
  </si>
  <si>
    <t>TXN10009</t>
  </si>
  <si>
    <t>October</t>
  </si>
  <si>
    <t>TXN10010</t>
  </si>
  <si>
    <t>November</t>
  </si>
  <si>
    <t>TXN10011</t>
  </si>
  <si>
    <t>P1005</t>
  </si>
  <si>
    <t>Business Tablet</t>
  </si>
  <si>
    <t>December</t>
  </si>
  <si>
    <t>TXN10012</t>
  </si>
  <si>
    <t>TXN10013</t>
  </si>
  <si>
    <t>TXN10014</t>
  </si>
  <si>
    <t>TXN10015</t>
  </si>
  <si>
    <t>P1011</t>
  </si>
  <si>
    <t>Barcode Scanner</t>
  </si>
  <si>
    <t>TXN10016</t>
  </si>
  <si>
    <t>P1008</t>
  </si>
  <si>
    <t>Conference Camera</t>
  </si>
  <si>
    <t>TXN10017</t>
  </si>
  <si>
    <t>TXN10018</t>
  </si>
  <si>
    <t>TXN10019</t>
  </si>
  <si>
    <t>TXN10020</t>
  </si>
  <si>
    <t>TXN10021</t>
  </si>
  <si>
    <t>P1009</t>
  </si>
  <si>
    <t>Office Desk</t>
  </si>
  <si>
    <t>TXN10022</t>
  </si>
  <si>
    <t>P1003</t>
  </si>
  <si>
    <t>Wireless Printer</t>
  </si>
  <si>
    <t>TXN10023</t>
  </si>
  <si>
    <t>TXN10024</t>
  </si>
  <si>
    <t>P1012</t>
  </si>
  <si>
    <t>UPS Backup System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</si>
  <si>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</si>
  <si>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</si>
  <si>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</si>
  <si>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</si>
  <si>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</si>
  <si>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</si>
  <si>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</si>
  <si>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</si>
  <si>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</si>
  <si>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</si>
  <si>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</si>
  <si>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</si>
  <si>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</si>
  <si>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</si>
  <si>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</si>
  <si>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</si>
  <si>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</si>
  <si>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</si>
  <si>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</si>
  <si>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</si>
  <si>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</si>
  <si>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</si>
  <si>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</si>
  <si>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</si>
  <si>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</si>
  <si>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</si>
  <si>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</si>
  <si>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</si>
  <si>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</si>
  <si>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</si>
  <si>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</si>
  <si>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</si>
  <si>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</si>
  <si>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</si>
  <si>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</si>
  <si>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</si>
  <si>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</si>
  <si>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</si>
  <si>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</si>
  <si>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</si>
  <si>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</si>
  <si>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</si>
  <si>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</si>
  <si>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</si>
  <si>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</si>
  <si>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</si>
  <si>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</si>
  <si>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</si>
  <si>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</si>
  <si>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</si>
  <si>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</si>
  <si>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</si>
  <si>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</si>
  <si>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</si>
  <si>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</si>
  <si>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</si>
  <si>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</si>
  <si>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</si>
  <si>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</si>
  <si>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</si>
  <si>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</si>
  <si>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</si>
  <si>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</si>
  <si>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</si>
  <si>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</si>
  <si>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</si>
  <si>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</si>
  <si>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</si>
  <si>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</si>
  <si>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</si>
  <si>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</si>
  <si>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</si>
  <si>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</si>
  <si>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</si>
  <si>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</si>
  <si>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</si>
  <si>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</si>
  <si>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</si>
  <si>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</si>
  <si>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</si>
  <si>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</si>
  <si>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</si>
  <si>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</si>
  <si>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</si>
  <si>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</si>
  <si>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</si>
  <si>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</si>
  <si>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</si>
  <si>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</si>
  <si>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</si>
  <si>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</si>
  <si>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</si>
  <si>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</si>
  <si>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</si>
  <si>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</si>
  <si>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</si>
  <si>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</si>
  <si>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</si>
  <si>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</si>
  <si>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</si>
  <si>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</si>
  <si>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</si>
  <si>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</si>
  <si>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</si>
  <si>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</si>
  <si>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</si>
  <si>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</si>
  <si>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</si>
  <si>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</si>
  <si>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</si>
  <si>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</si>
  <si>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</si>
  <si>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</si>
  <si>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</si>
  <si>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</si>
  <si>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</si>
  <si>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</si>
  <si>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</si>
  <si>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</si>
  <si>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</si>
  <si>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</si>
  <si>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</si>
  <si>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</si>
  <si>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</si>
  <si>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</si>
  <si>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</si>
  <si>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</si>
  <si>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</si>
  <si>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</si>
  <si>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</si>
  <si>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</si>
  <si>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</si>
  <si>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</si>
  <si>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</si>
  <si>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</si>
  <si>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</si>
  <si>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Commission 10% for items less than 50000, 20% for more than it</t>
  </si>
  <si>
    <t>Sales</t>
  </si>
  <si>
    <t>Person</t>
  </si>
  <si>
    <t>Sum of all items</t>
  </si>
  <si>
    <t>Sum of items valued 50000 or less</t>
  </si>
  <si>
    <t>Sum of items valued more than 50000</t>
  </si>
  <si>
    <t>Row Labels</t>
  </si>
  <si>
    <t>Grand Total</t>
  </si>
  <si>
    <t>Sum of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</si>
</sst>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16" fontId="0" fillId="0" borderId="0" xfId="0" applyNumberFormat="1"/>
    <xf numFmtId="16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4" fontId="0" fillId="4" borderId="0" xfId="0" applyNumberFormat="1" applyFill="1"/>
    <xf numFmtId="16" fontId="0" fillId="5" borderId="0" xfId="0" applyNumberFormat="1" applyFill="1"/>
    <xf numFmtId="16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textRotation="90"/>
    </xf>
    <xf numFmtId="0" fontId="4" fillId="0" borderId="0" xfId="0" applyFont="1"/>
    <xf numFmtId="9" fontId="4" fillId="0" borderId="0" xfId="2" applyFont="1"/>
    <xf numFmtId="9" fontId="2" fillId="0" borderId="0" xfId="2" applyFont="1"/>
    <xf numFmtId="0" fontId="4" fillId="7" borderId="0" xfId="0" applyFont="1" applyFill="1"/>
    <xf numFmtId="0" fontId="4" fillId="3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2" fillId="0" borderId="0" xfId="0" applyFont="1" applyAlignment="1">
      <alignment wrapText="1"/>
    </xf>
    <xf numFmtId="164" fontId="4" fillId="0" borderId="0" xfId="0" applyNumberFormat="1" applyFont="1"/>
    <xf numFmtId="44" fontId="4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 Test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814741907261592E-2"/>
          <c:y val="0.17634259259259263"/>
          <c:w val="0.89019685039370078"/>
          <c:h val="0.637295858850976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GradeBook!$A$4:$A$23</c:f>
              <c:strCache>
                <c:ptCount val="20"/>
                <c:pt idx="0">
                  <c:v>Aarav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Vikram</c:v>
                </c:pt>
                <c:pt idx="5">
                  <c:v>Neha</c:v>
                </c:pt>
                <c:pt idx="6">
                  <c:v>Aditya</c:v>
                </c:pt>
                <c:pt idx="7">
                  <c:v>Sneha</c:v>
                </c:pt>
                <c:pt idx="8">
                  <c:v>Rahul</c:v>
                </c:pt>
                <c:pt idx="9">
                  <c:v>Kavya</c:v>
                </c:pt>
                <c:pt idx="10">
                  <c:v>Arjun</c:v>
                </c:pt>
                <c:pt idx="11">
                  <c:v>Ishita</c:v>
                </c:pt>
                <c:pt idx="12">
                  <c:v>Manish</c:v>
                </c:pt>
                <c:pt idx="13">
                  <c:v>Pooja</c:v>
                </c:pt>
                <c:pt idx="14">
                  <c:v>Karan</c:v>
                </c:pt>
                <c:pt idx="15">
                  <c:v>Simran</c:v>
                </c:pt>
                <c:pt idx="16">
                  <c:v>Nikhil</c:v>
                </c:pt>
                <c:pt idx="17">
                  <c:v>Riya</c:v>
                </c:pt>
                <c:pt idx="18">
                  <c:v>Saurabh</c:v>
                </c:pt>
                <c:pt idx="19">
                  <c:v>Meera</c:v>
                </c:pt>
              </c:strCache>
            </c:strRef>
          </c:cat>
          <c:val>
            <c:numRef>
              <c:f>GradeBook!$C$4:$C$23</c:f>
              <c:numCache>
                <c:formatCode>General</c:formatCode>
                <c:ptCount val="20"/>
                <c:pt idx="0">
                  <c:v>87</c:v>
                </c:pt>
                <c:pt idx="1">
                  <c:v>94</c:v>
                </c:pt>
                <c:pt idx="2">
                  <c:v>76</c:v>
                </c:pt>
                <c:pt idx="3">
                  <c:v>91</c:v>
                </c:pt>
                <c:pt idx="4">
                  <c:v>53</c:v>
                </c:pt>
                <c:pt idx="5">
                  <c:v>96</c:v>
                </c:pt>
                <c:pt idx="6">
                  <c:v>88</c:v>
                </c:pt>
                <c:pt idx="7">
                  <c:v>79</c:v>
                </c:pt>
                <c:pt idx="8">
                  <c:v>85</c:v>
                </c:pt>
                <c:pt idx="9">
                  <c:v>92</c:v>
                </c:pt>
                <c:pt idx="10">
                  <c:v>81</c:v>
                </c:pt>
                <c:pt idx="11">
                  <c:v>97</c:v>
                </c:pt>
                <c:pt idx="12">
                  <c:v>44</c:v>
                </c:pt>
                <c:pt idx="13">
                  <c:v>89</c:v>
                </c:pt>
                <c:pt idx="14">
                  <c:v>86</c:v>
                </c:pt>
                <c:pt idx="15">
                  <c:v>93</c:v>
                </c:pt>
                <c:pt idx="16">
                  <c:v>78</c:v>
                </c:pt>
                <c:pt idx="17">
                  <c:v>95</c:v>
                </c:pt>
                <c:pt idx="18">
                  <c:v>82</c:v>
                </c:pt>
                <c:pt idx="1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4-4594-87BF-F6ADC1B7E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395216"/>
        <c:axId val="777311888"/>
      </c:barChart>
      <c:catAx>
        <c:axId val="68939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11888"/>
        <c:crosses val="autoZero"/>
        <c:auto val="1"/>
        <c:lblAlgn val="ctr"/>
        <c:lblOffset val="100"/>
        <c:noMultiLvlLbl val="0"/>
      </c:catAx>
      <c:valAx>
        <c:axId val="77731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9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GradeBook!$A$4:$A$23</c:f>
              <c:strCache>
                <c:ptCount val="20"/>
                <c:pt idx="0">
                  <c:v>Aarav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Vikram</c:v>
                </c:pt>
                <c:pt idx="5">
                  <c:v>Neha</c:v>
                </c:pt>
                <c:pt idx="6">
                  <c:v>Aditya</c:v>
                </c:pt>
                <c:pt idx="7">
                  <c:v>Sneha</c:v>
                </c:pt>
                <c:pt idx="8">
                  <c:v>Rahul</c:v>
                </c:pt>
                <c:pt idx="9">
                  <c:v>Kavya</c:v>
                </c:pt>
                <c:pt idx="10">
                  <c:v>Arjun</c:v>
                </c:pt>
                <c:pt idx="11">
                  <c:v>Ishita</c:v>
                </c:pt>
                <c:pt idx="12">
                  <c:v>Manish</c:v>
                </c:pt>
                <c:pt idx="13">
                  <c:v>Pooja</c:v>
                </c:pt>
                <c:pt idx="14">
                  <c:v>Karan</c:v>
                </c:pt>
                <c:pt idx="15">
                  <c:v>Simran</c:v>
                </c:pt>
                <c:pt idx="16">
                  <c:v>Nikhil</c:v>
                </c:pt>
                <c:pt idx="17">
                  <c:v>Riya</c:v>
                </c:pt>
                <c:pt idx="18">
                  <c:v>Saurabh</c:v>
                </c:pt>
                <c:pt idx="19">
                  <c:v>Meera</c:v>
                </c:pt>
              </c:strCache>
            </c:strRef>
          </c:cat>
          <c:val>
            <c:numRef>
              <c:f>GradeBook!$D$4:$D$23</c:f>
              <c:numCache>
                <c:formatCode>General</c:formatCode>
                <c:ptCount val="20"/>
                <c:pt idx="0">
                  <c:v>92</c:v>
                </c:pt>
                <c:pt idx="1">
                  <c:v>88</c:v>
                </c:pt>
                <c:pt idx="2">
                  <c:v>41</c:v>
                </c:pt>
                <c:pt idx="3">
                  <c:v>95</c:v>
                </c:pt>
                <c:pt idx="4">
                  <c:v>79</c:v>
                </c:pt>
                <c:pt idx="5">
                  <c:v>90</c:v>
                </c:pt>
                <c:pt idx="6">
                  <c:v>85</c:v>
                </c:pt>
                <c:pt idx="7">
                  <c:v>74</c:v>
                </c:pt>
                <c:pt idx="8">
                  <c:v>77</c:v>
                </c:pt>
                <c:pt idx="9">
                  <c:v>89</c:v>
                </c:pt>
                <c:pt idx="10">
                  <c:v>83</c:v>
                </c:pt>
                <c:pt idx="11">
                  <c:v>96</c:v>
                </c:pt>
                <c:pt idx="12">
                  <c:v>80</c:v>
                </c:pt>
                <c:pt idx="13">
                  <c:v>91</c:v>
                </c:pt>
                <c:pt idx="14">
                  <c:v>78</c:v>
                </c:pt>
                <c:pt idx="15">
                  <c:v>77</c:v>
                </c:pt>
                <c:pt idx="16">
                  <c:v>84</c:v>
                </c:pt>
                <c:pt idx="17">
                  <c:v>93</c:v>
                </c:pt>
                <c:pt idx="18">
                  <c:v>75</c:v>
                </c:pt>
                <c:pt idx="1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9-4363-BC0C-3C952F08DD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1983792"/>
        <c:axId val="777309008"/>
      </c:barChart>
      <c:catAx>
        <c:axId val="98198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09008"/>
        <c:crosses val="autoZero"/>
        <c:auto val="1"/>
        <c:lblAlgn val="ctr"/>
        <c:lblOffset val="100"/>
        <c:noMultiLvlLbl val="0"/>
      </c:catAx>
      <c:valAx>
        <c:axId val="77730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98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</a:t>
            </a:r>
            <a:r>
              <a:rPr lang="en-IN" baseline="0"/>
              <a:t> Skill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GradeBook!$A$4:$A$23</c:f>
              <c:strCache>
                <c:ptCount val="20"/>
                <c:pt idx="0">
                  <c:v>Aarav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Vikram</c:v>
                </c:pt>
                <c:pt idx="5">
                  <c:v>Neha</c:v>
                </c:pt>
                <c:pt idx="6">
                  <c:v>Aditya</c:v>
                </c:pt>
                <c:pt idx="7">
                  <c:v>Sneha</c:v>
                </c:pt>
                <c:pt idx="8">
                  <c:v>Rahul</c:v>
                </c:pt>
                <c:pt idx="9">
                  <c:v>Kavya</c:v>
                </c:pt>
                <c:pt idx="10">
                  <c:v>Arjun</c:v>
                </c:pt>
                <c:pt idx="11">
                  <c:v>Ishita</c:v>
                </c:pt>
                <c:pt idx="12">
                  <c:v>Manish</c:v>
                </c:pt>
                <c:pt idx="13">
                  <c:v>Pooja</c:v>
                </c:pt>
                <c:pt idx="14">
                  <c:v>Karan</c:v>
                </c:pt>
                <c:pt idx="15">
                  <c:v>Simran</c:v>
                </c:pt>
                <c:pt idx="16">
                  <c:v>Nikhil</c:v>
                </c:pt>
                <c:pt idx="17">
                  <c:v>Riya</c:v>
                </c:pt>
                <c:pt idx="18">
                  <c:v>Saurabh</c:v>
                </c:pt>
                <c:pt idx="19">
                  <c:v>Meera</c:v>
                </c:pt>
              </c:strCache>
            </c:strRef>
          </c:cat>
          <c:val>
            <c:numRef>
              <c:f>GradeBook!$E$4:$E$23</c:f>
              <c:numCache>
                <c:formatCode>General</c:formatCode>
                <c:ptCount val="20"/>
                <c:pt idx="0">
                  <c:v>78</c:v>
                </c:pt>
                <c:pt idx="1">
                  <c:v>91</c:v>
                </c:pt>
                <c:pt idx="2">
                  <c:v>85</c:v>
                </c:pt>
                <c:pt idx="3">
                  <c:v>89</c:v>
                </c:pt>
                <c:pt idx="4">
                  <c:v>74</c:v>
                </c:pt>
                <c:pt idx="5">
                  <c:v>93</c:v>
                </c:pt>
                <c:pt idx="6">
                  <c:v>80</c:v>
                </c:pt>
                <c:pt idx="7">
                  <c:v>87</c:v>
                </c:pt>
                <c:pt idx="8">
                  <c:v>82</c:v>
                </c:pt>
                <c:pt idx="9">
                  <c:v>95</c:v>
                </c:pt>
                <c:pt idx="10">
                  <c:v>76</c:v>
                </c:pt>
                <c:pt idx="11">
                  <c:v>90</c:v>
                </c:pt>
                <c:pt idx="12">
                  <c:v>79</c:v>
                </c:pt>
                <c:pt idx="13">
                  <c:v>84</c:v>
                </c:pt>
                <c:pt idx="14">
                  <c:v>88</c:v>
                </c:pt>
                <c:pt idx="15">
                  <c:v>92</c:v>
                </c:pt>
                <c:pt idx="16">
                  <c:v>81</c:v>
                </c:pt>
                <c:pt idx="17">
                  <c:v>89</c:v>
                </c:pt>
                <c:pt idx="18">
                  <c:v>77</c:v>
                </c:pt>
                <c:pt idx="19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E-4265-9D47-BDC6D9DC1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226848"/>
        <c:axId val="777320528"/>
      </c:barChart>
      <c:catAx>
        <c:axId val="98722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20528"/>
        <c:crosses val="autoZero"/>
        <c:auto val="1"/>
        <c:lblAlgn val="ctr"/>
        <c:lblOffset val="100"/>
        <c:noMultiLvlLbl val="0"/>
      </c:catAx>
      <c:valAx>
        <c:axId val="77732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22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[Assignment1.xlsx]SalesReport2!PivotTable1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SalesReport2!$B$3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1ED-44C5-8F20-E002238299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1ED-44C5-8F20-E002238299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1ED-44C5-8F20-E002238299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1ED-44C5-8F20-E002238299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1ED-44C5-8F20-E002238299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1ED-44C5-8F20-E002238299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1ED-44C5-8F20-E002238299D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1ED-44C5-8F20-E002238299D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1ED-44C5-8F20-E002238299D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1ED-44C5-8F20-E002238299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SalesReport2!$A$4:$A$14</c:f>
              <c:strCache>
                <c:ptCount val="10"/>
                <c:pt idx="0">
                  <c:v>Aarav</c:v>
                </c:pt>
                <c:pt idx="1">
                  <c:v>Aditya</c:v>
                </c:pt>
                <c:pt idx="2">
                  <c:v>Ananya</c:v>
                </c:pt>
                <c:pt idx="3">
                  <c:v>Kavya</c:v>
                </c:pt>
                <c:pt idx="4">
                  <c:v>Neha</c:v>
                </c:pt>
                <c:pt idx="5">
                  <c:v>Priya</c:v>
                </c:pt>
                <c:pt idx="6">
                  <c:v>Rahul</c:v>
                </c:pt>
                <c:pt idx="7">
                  <c:v>Rohan</c:v>
                </c:pt>
                <c:pt idx="8">
                  <c:v>Sneha</c:v>
                </c:pt>
                <c:pt idx="9">
                  <c:v>Vikram</c:v>
                </c:pt>
              </c:strCache>
            </c:strRef>
          </c:cat>
          <c:val>
            <c:numRef>
              <c:f>SalesReport2!$B$4:$B$14</c:f>
              <c:numCache>
                <c:formatCode>_ [$₹-4009]\ * #,##0.00_ ;_ [$₹-4009]\ * \-#,##0.00_ ;_ [$₹-4009]\ * "-"??_ ;_ @_ </c:formatCode>
                <c:ptCount val="10"/>
                <c:pt idx="0">
                  <c:v>732178</c:v>
                </c:pt>
                <c:pt idx="1">
                  <c:v>1034226</c:v>
                </c:pt>
                <c:pt idx="2">
                  <c:v>1198793</c:v>
                </c:pt>
                <c:pt idx="3">
                  <c:v>1059145</c:v>
                </c:pt>
                <c:pt idx="4">
                  <c:v>691126</c:v>
                </c:pt>
                <c:pt idx="5">
                  <c:v>1253790</c:v>
                </c:pt>
                <c:pt idx="6">
                  <c:v>1163289</c:v>
                </c:pt>
                <c:pt idx="7">
                  <c:v>1117563</c:v>
                </c:pt>
                <c:pt idx="8">
                  <c:v>1064502</c:v>
                </c:pt>
                <c:pt idx="9">
                  <c:v>1110200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F-4DA5-A6A4-39DF3B65A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358140</xdr:colOff>
      <xdr:row>0</xdr:row>
      <xdr:rowOff>1897380</xdr:rowOff>
    </xdr:from>
    <xdr:to>
      <xdr:col>23</xdr:col>
      <xdr:colOff>464820</xdr:colOff>
      <xdr:row>13</xdr:row>
      <xdr:rowOff>220980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8136E9-B5DA-9CC6-40D5-B8BB44615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350520</xdr:colOff>
      <xdr:row>14</xdr:row>
      <xdr:rowOff>53340</xdr:rowOff>
    </xdr:from>
    <xdr:to>
      <xdr:col>23</xdr:col>
      <xdr:colOff>480060</xdr:colOff>
      <xdr:row>27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0637B5-A31C-2F58-3461-9A3BAC7C7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99060</xdr:colOff>
      <xdr:row>1</xdr:row>
      <xdr:rowOff>0</xdr:rowOff>
    </xdr:from>
    <xdr:to>
      <xdr:col>31</xdr:col>
      <xdr:colOff>601980</xdr:colOff>
      <xdr:row>14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2EAE41-4F14-165F-1D43-CF808590D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693420</xdr:colOff>
      <xdr:row>1</xdr:row>
      <xdr:rowOff>76200</xdr:rowOff>
    </xdr:from>
    <xdr:to>
      <xdr:col>9</xdr:col>
      <xdr:colOff>350520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48649-7EC6-826F-D6C8-741DD06B2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tika Raj" refreshedDate="46272.833603935185" createdVersion="8" refreshedVersion="8" minRefreshableVersion="3" recordCount="160" xr:uid="{A4290EFE-3A99-49AA-B48F-7B74AC369060}">
  <cacheSource type="worksheet">
    <worksheetSource ref="A1:K161" sheet="SalesReport"/>
  </cacheSource>
  <cacheFields count="11">
    <cacheField name="Month" numFmtId="0">
      <sharedItems/>
    </cacheField>
    <cacheField name="Transaction No" numFmtId="0">
      <sharedItems/>
    </cacheField>
    <cacheField name="Product Code" numFmtId="0">
      <sharedItems/>
    </cacheField>
    <cacheField name="Product Description" numFmtId="0">
      <sharedItems/>
    </cacheField>
    <cacheField name="Store Cost" numFmtId="164">
      <sharedItems containsSemiMixedTypes="0" containsString="0" containsNumber="1" containsInteger="1" minValue="28128" maxValue="89623"/>
    </cacheField>
    <cacheField name="Sale Price" numFmtId="164">
      <sharedItems containsSemiMixedTypes="0" containsString="0" containsNumber="1" containsInteger="1" minValue="33355" maxValue="108629" count="160">
        <n v="40177"/>
        <n v="42831"/>
        <n v="55428"/>
        <n v="54841"/>
        <n v="53744"/>
        <n v="38568"/>
        <n v="78355"/>
        <n v="62620"/>
        <n v="75844"/>
        <n v="48312"/>
        <n v="55944"/>
        <n v="79271"/>
        <n v="72953"/>
        <n v="82315"/>
        <n v="83857"/>
        <n v="54899"/>
        <n v="57170"/>
        <n v="50202"/>
        <n v="103608"/>
        <n v="56268"/>
        <n v="47052"/>
        <n v="80862"/>
        <n v="50366"/>
        <n v="74224"/>
        <n v="42572"/>
        <n v="34626"/>
        <n v="69892"/>
        <n v="71653"/>
        <n v="63801"/>
        <n v="69285"/>
        <n v="38266"/>
        <n v="108378"/>
        <n v="77598"/>
        <n v="97379"/>
        <n v="66854"/>
        <n v="46356"/>
        <n v="51505"/>
        <n v="50686"/>
        <n v="55559"/>
        <n v="58275"/>
        <n v="56621"/>
        <n v="97143"/>
        <n v="81084"/>
        <n v="100146"/>
        <n v="64221"/>
        <n v="45630"/>
        <n v="63119"/>
        <n v="59007"/>
        <n v="77100"/>
        <n v="59664"/>
        <n v="45544"/>
        <n v="69698"/>
        <n v="58552"/>
        <n v="76926"/>
        <n v="52923"/>
        <n v="53352"/>
        <n v="43237"/>
        <n v="45493"/>
        <n v="80116"/>
        <n v="80989"/>
        <n v="43662"/>
        <n v="63912"/>
        <n v="95671"/>
        <n v="95075"/>
        <n v="78945"/>
        <n v="35203"/>
        <n v="58971"/>
        <n v="69854"/>
        <n v="49127"/>
        <n v="63829"/>
        <n v="52012"/>
        <n v="60322"/>
        <n v="107354"/>
        <n v="72177"/>
        <n v="59633"/>
        <n v="50464"/>
        <n v="87705"/>
        <n v="41757"/>
        <n v="92643"/>
        <n v="77569"/>
        <n v="51039"/>
        <n v="90753"/>
        <n v="58340"/>
        <n v="45086"/>
        <n v="75725"/>
        <n v="44957"/>
        <n v="50583"/>
        <n v="90163"/>
        <n v="48544"/>
        <n v="50647"/>
        <n v="33355"/>
        <n v="69973"/>
        <n v="73348"/>
        <n v="70096"/>
        <n v="57553"/>
        <n v="39361"/>
        <n v="38902"/>
        <n v="91707"/>
        <n v="57150"/>
        <n v="85613"/>
        <n v="51270"/>
        <n v="104714"/>
        <n v="55826"/>
        <n v="47639"/>
        <n v="58859"/>
        <n v="45170"/>
        <n v="72848"/>
        <n v="77066"/>
        <n v="96885"/>
        <n v="80175"/>
        <n v="47407"/>
        <n v="53033"/>
        <n v="86339"/>
        <n v="48779"/>
        <n v="85570"/>
        <n v="37569"/>
        <n v="61314"/>
        <n v="56968"/>
        <n v="97146"/>
        <n v="87034"/>
        <n v="43448"/>
        <n v="93408"/>
        <n v="53175"/>
        <n v="96072"/>
        <n v="98400"/>
        <n v="39704"/>
        <n v="84934"/>
        <n v="44883"/>
        <n v="54212"/>
        <n v="44236"/>
        <n v="46344"/>
        <n v="80594"/>
        <n v="64098"/>
        <n v="37923"/>
        <n v="74346"/>
        <n v="43712"/>
        <n v="102829"/>
        <n v="83656"/>
        <n v="87122"/>
        <n v="52595"/>
        <n v="34845"/>
        <n v="84364"/>
        <n v="41398"/>
        <n v="108629"/>
        <n v="82177"/>
        <n v="37245"/>
        <n v="67239"/>
        <n v="69642"/>
        <n v="52148"/>
        <n v="64364"/>
        <n v="45192"/>
        <n v="74534"/>
        <n v="86033"/>
        <n v="91486"/>
        <n v="74821"/>
        <n v="44310"/>
        <n v="45623"/>
        <n v="99145"/>
        <n v="72284"/>
        <n v="80290"/>
      </sharedItems>
    </cacheField>
    <cacheField name="Profit" numFmtId="164">
      <sharedItems containsSemiMixedTypes="0" containsString="0" containsNumber="1" containsInteger="1" minValue="4015" maxValue="21985"/>
    </cacheField>
    <cacheField name="Commission 10% for items less than 50000, 20% for more than it" numFmtId="44">
      <sharedItems containsSemiMixedTypes="0" containsString="0" containsNumber="1" minValue="449.70000000000005" maxValue="4397"/>
    </cacheField>
    <cacheField name="Sales" numFmtId="0">
      <sharedItems count="10">
        <s v="Aarav"/>
        <s v="Priya"/>
        <s v="Rohan"/>
        <s v="Ananya"/>
        <s v="Vikram"/>
        <s v="Neha"/>
        <s v="Aditya"/>
        <s v="Sneha"/>
        <s v="Rahul"/>
        <s v="Kavya"/>
      </sharedItems>
    </cacheField>
    <cacheField name="Person" numFmtId="0">
      <sharedItems count="10">
        <s v="Sharma"/>
        <s v="Verma"/>
        <s v="Singh"/>
        <s v="Gupta"/>
        <s v="Kumar"/>
        <s v="Mehta"/>
        <s v="Roy"/>
        <s v="Sinha"/>
        <s v="Mishra"/>
        <s v="Patel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January"/>
    <s v="TXN10001"/>
    <s v="P1006"/>
    <s v="Laser Projector"/>
    <n v="32943"/>
    <x v="0"/>
    <n v="7234"/>
    <n v="723.40000000000009"/>
    <x v="0"/>
    <x v="0"/>
    <s v="Kolkata"/>
  </r>
  <r>
    <s v="January"/>
    <s v="TXN10002"/>
    <s v="P1001"/>
    <s v="Laptop Pro 14"/>
    <n v="34747"/>
    <x v="1"/>
    <n v="8084"/>
    <n v="808.40000000000009"/>
    <x v="1"/>
    <x v="1"/>
    <s v="Bokaro"/>
  </r>
  <r>
    <s v="January"/>
    <s v="TXN10003"/>
    <s v="P1010"/>
    <s v="Network Router"/>
    <n v="33801"/>
    <x v="2"/>
    <n v="21627"/>
    <n v="4325.4000000000005"/>
    <x v="2"/>
    <x v="2"/>
    <s v="Jamshedpur"/>
  </r>
  <r>
    <s v="January"/>
    <s v="TXN10004"/>
    <s v="P1001"/>
    <s v="Laptop Pro 14"/>
    <n v="35632"/>
    <x v="3"/>
    <n v="19209"/>
    <n v="3841.8"/>
    <x v="3"/>
    <x v="3"/>
    <s v="Dhanbad"/>
  </r>
  <r>
    <s v="January"/>
    <s v="TXN10005"/>
    <s v="P1002"/>
    <s v="Office Monitor 24"/>
    <n v="45772"/>
    <x v="4"/>
    <n v="7972"/>
    <n v="1594.4"/>
    <x v="4"/>
    <x v="4"/>
    <s v="Patna"/>
  </r>
  <r>
    <s v="January"/>
    <s v="TXN10006"/>
    <s v="P1007"/>
    <s v="Desktop Computer"/>
    <n v="29936"/>
    <x v="5"/>
    <n v="8632"/>
    <n v="863.2"/>
    <x v="5"/>
    <x v="5"/>
    <s v="Ranchi"/>
  </r>
  <r>
    <s v="January"/>
    <s v="TXN10007"/>
    <s v="P1004"/>
    <s v="Office Chair"/>
    <n v="71328"/>
    <x v="6"/>
    <n v="7027"/>
    <n v="1405.4"/>
    <x v="6"/>
    <x v="6"/>
    <s v="Patna"/>
  </r>
  <r>
    <s v="January"/>
    <s v="TXN10008"/>
    <s v="P1010"/>
    <s v="Network Router"/>
    <n v="55996"/>
    <x v="7"/>
    <n v="6624"/>
    <n v="1324.8000000000002"/>
    <x v="7"/>
    <x v="7"/>
    <s v="Jamshedpur"/>
  </r>
  <r>
    <s v="January"/>
    <s v="TXN10009"/>
    <s v="P1001"/>
    <s v="Laptop Pro 14"/>
    <n v="66481"/>
    <x v="8"/>
    <n v="9363"/>
    <n v="1872.6000000000001"/>
    <x v="8"/>
    <x v="8"/>
    <s v="Bokaro"/>
  </r>
  <r>
    <s v="January"/>
    <s v="TXN10010"/>
    <s v="P1007"/>
    <s v="Desktop Computer"/>
    <n v="39453"/>
    <x v="9"/>
    <n v="8859"/>
    <n v="885.90000000000009"/>
    <x v="9"/>
    <x v="9"/>
    <s v="Patna"/>
  </r>
  <r>
    <s v="January"/>
    <s v="TXN10011"/>
    <s v="P1005"/>
    <s v="Business Tablet"/>
    <n v="46358"/>
    <x v="10"/>
    <n v="9586"/>
    <n v="1917.2"/>
    <x v="0"/>
    <x v="0"/>
    <s v="Jamshedpur"/>
  </r>
  <r>
    <s v="January"/>
    <s v="TXN10012"/>
    <s v="P1002"/>
    <s v="Office Monitor 24"/>
    <n v="68115"/>
    <x v="11"/>
    <n v="11156"/>
    <n v="2231.2000000000003"/>
    <x v="1"/>
    <x v="1"/>
    <s v="Bokaro"/>
  </r>
  <r>
    <s v="January"/>
    <s v="TXN10013"/>
    <s v="P1002"/>
    <s v="Office Monitor 24"/>
    <n v="65896"/>
    <x v="12"/>
    <n v="7057"/>
    <n v="1411.4"/>
    <x v="2"/>
    <x v="2"/>
    <s v="Patna"/>
  </r>
  <r>
    <s v="January"/>
    <s v="TXN10014"/>
    <s v="P1001"/>
    <s v="Laptop Pro 14"/>
    <n v="70567"/>
    <x v="13"/>
    <n v="11748"/>
    <n v="2349.6"/>
    <x v="3"/>
    <x v="3"/>
    <s v="Dhanbad"/>
  </r>
  <r>
    <s v="February"/>
    <s v="TXN10015"/>
    <s v="P1011"/>
    <s v="Barcode Scanner"/>
    <n v="64846"/>
    <x v="14"/>
    <n v="19011"/>
    <n v="3802.2000000000003"/>
    <x v="4"/>
    <x v="4"/>
    <s v="Bokaro"/>
  </r>
  <r>
    <s v="February"/>
    <s v="TXN10016"/>
    <s v="P1008"/>
    <s v="Conference Camera"/>
    <n v="47187"/>
    <x v="15"/>
    <n v="7712"/>
    <n v="1542.4"/>
    <x v="5"/>
    <x v="5"/>
    <s v="Bokaro"/>
  </r>
  <r>
    <s v="February"/>
    <s v="TXN10017"/>
    <s v="P1005"/>
    <s v="Business Tablet"/>
    <n v="46280"/>
    <x v="16"/>
    <n v="10890"/>
    <n v="2178"/>
    <x v="6"/>
    <x v="6"/>
    <s v="Kolkata"/>
  </r>
  <r>
    <s v="February"/>
    <s v="TXN10018"/>
    <s v="P1004"/>
    <s v="Office Chair"/>
    <n v="35364"/>
    <x v="17"/>
    <n v="14838"/>
    <n v="2967.6000000000004"/>
    <x v="7"/>
    <x v="7"/>
    <s v="Patna"/>
  </r>
  <r>
    <s v="February"/>
    <s v="TXN10019"/>
    <s v="P1008"/>
    <s v="Conference Camera"/>
    <n v="87353"/>
    <x v="18"/>
    <n v="16255"/>
    <n v="3251"/>
    <x v="8"/>
    <x v="8"/>
    <s v="Kolkata"/>
  </r>
  <r>
    <s v="February"/>
    <s v="TXN10020"/>
    <s v="P1008"/>
    <s v="Conference Camera"/>
    <n v="48870"/>
    <x v="19"/>
    <n v="7398"/>
    <n v="1479.6000000000001"/>
    <x v="9"/>
    <x v="9"/>
    <s v="Ranchi"/>
  </r>
  <r>
    <s v="February"/>
    <s v="TXN10021"/>
    <s v="P1009"/>
    <s v="Office Desk"/>
    <n v="41701"/>
    <x v="20"/>
    <n v="5351"/>
    <n v="535.1"/>
    <x v="0"/>
    <x v="0"/>
    <s v="Bokaro"/>
  </r>
  <r>
    <s v="February"/>
    <s v="TXN10022"/>
    <s v="P1003"/>
    <s v="Wireless Printer"/>
    <n v="62044"/>
    <x v="21"/>
    <n v="18818"/>
    <n v="3763.6000000000004"/>
    <x v="1"/>
    <x v="1"/>
    <s v="Ranchi"/>
  </r>
  <r>
    <s v="February"/>
    <s v="TXN10023"/>
    <s v="P1011"/>
    <s v="Barcode Scanner"/>
    <n v="35086"/>
    <x v="22"/>
    <n v="15280"/>
    <n v="3056"/>
    <x v="2"/>
    <x v="2"/>
    <s v="Bokaro"/>
  </r>
  <r>
    <s v="February"/>
    <s v="TXN10024"/>
    <s v="P1012"/>
    <s v="UPS Backup System"/>
    <n v="52949"/>
    <x v="23"/>
    <n v="21275"/>
    <n v="4255"/>
    <x v="3"/>
    <x v="3"/>
    <s v="Patna"/>
  </r>
  <r>
    <s v="February"/>
    <s v="TXN10025"/>
    <s v="P1008"/>
    <s v="Conference Camera"/>
    <n v="34506"/>
    <x v="24"/>
    <n v="8066"/>
    <n v="806.6"/>
    <x v="4"/>
    <x v="4"/>
    <s v="Bokaro"/>
  </r>
  <r>
    <s v="February"/>
    <s v="TXN10026"/>
    <s v="P1008"/>
    <s v="Conference Camera"/>
    <n v="30129"/>
    <x v="25"/>
    <n v="4497"/>
    <n v="449.70000000000005"/>
    <x v="5"/>
    <x v="5"/>
    <s v="Kolkata"/>
  </r>
  <r>
    <s v="February"/>
    <s v="TXN10027"/>
    <s v="P1012"/>
    <s v="UPS Backup System"/>
    <n v="50290"/>
    <x v="26"/>
    <n v="19602"/>
    <n v="3920.4"/>
    <x v="6"/>
    <x v="6"/>
    <s v="Bokaro"/>
  </r>
  <r>
    <s v="February"/>
    <s v="TXN10028"/>
    <s v="P1012"/>
    <s v="UPS Backup System"/>
    <n v="55283"/>
    <x v="27"/>
    <n v="16370"/>
    <n v="3274"/>
    <x v="7"/>
    <x v="7"/>
    <s v="Ranchi"/>
  </r>
  <r>
    <s v="March"/>
    <s v="TXN10029"/>
    <s v="P1008"/>
    <s v="Conference Camera"/>
    <n v="53295"/>
    <x v="28"/>
    <n v="10506"/>
    <n v="2101.2000000000003"/>
    <x v="8"/>
    <x v="8"/>
    <s v="Patna"/>
  </r>
  <r>
    <s v="March"/>
    <s v="TXN10030"/>
    <s v="P1002"/>
    <s v="Office Monitor 24"/>
    <n v="62354"/>
    <x v="29"/>
    <n v="6931"/>
    <n v="1386.2"/>
    <x v="9"/>
    <x v="9"/>
    <s v="Jamshedpur"/>
  </r>
  <r>
    <s v="March"/>
    <s v="TXN10031"/>
    <s v="P1005"/>
    <s v="Business Tablet"/>
    <n v="32238"/>
    <x v="30"/>
    <n v="6028"/>
    <n v="602.80000000000007"/>
    <x v="0"/>
    <x v="0"/>
    <s v="Dhanbad"/>
  </r>
  <r>
    <s v="March"/>
    <s v="TXN10032"/>
    <s v="P1007"/>
    <s v="Desktop Computer"/>
    <n v="87109"/>
    <x v="31"/>
    <n v="21269"/>
    <n v="4253.8"/>
    <x v="1"/>
    <x v="1"/>
    <s v="Ranchi"/>
  </r>
  <r>
    <s v="March"/>
    <s v="TXN10033"/>
    <s v="P1003"/>
    <s v="Wireless Printer"/>
    <n v="59437"/>
    <x v="32"/>
    <n v="18161"/>
    <n v="3632.2000000000003"/>
    <x v="2"/>
    <x v="2"/>
    <s v="Patna"/>
  </r>
  <r>
    <s v="March"/>
    <s v="TXN10034"/>
    <s v="P1005"/>
    <s v="Business Tablet"/>
    <n v="87893"/>
    <x v="33"/>
    <n v="9486"/>
    <n v="1897.2"/>
    <x v="3"/>
    <x v="3"/>
    <s v="Dhanbad"/>
  </r>
  <r>
    <s v="March"/>
    <s v="TXN10035"/>
    <s v="P1009"/>
    <s v="Office Desk"/>
    <n v="48246"/>
    <x v="34"/>
    <n v="18608"/>
    <n v="3721.6000000000004"/>
    <x v="4"/>
    <x v="4"/>
    <s v="Bokaro"/>
  </r>
  <r>
    <s v="March"/>
    <s v="TXN10036"/>
    <s v="P1011"/>
    <s v="Barcode Scanner"/>
    <n v="40466"/>
    <x v="35"/>
    <n v="5890"/>
    <n v="589"/>
    <x v="5"/>
    <x v="5"/>
    <s v="Jamshedpur"/>
  </r>
  <r>
    <s v="March"/>
    <s v="TXN10037"/>
    <s v="P1002"/>
    <s v="Office Monitor 24"/>
    <n v="41548"/>
    <x v="36"/>
    <n v="9957"/>
    <n v="1991.4"/>
    <x v="6"/>
    <x v="6"/>
    <s v="Jamshedpur"/>
  </r>
  <r>
    <s v="March"/>
    <s v="TXN10038"/>
    <s v="P1011"/>
    <s v="Barcode Scanner"/>
    <n v="45291"/>
    <x v="37"/>
    <n v="5395"/>
    <n v="1079"/>
    <x v="7"/>
    <x v="7"/>
    <s v="Dhanbad"/>
  </r>
  <r>
    <s v="March"/>
    <s v="TXN10039"/>
    <s v="P1010"/>
    <s v="Network Router"/>
    <n v="41950"/>
    <x v="38"/>
    <n v="13609"/>
    <n v="2721.8"/>
    <x v="8"/>
    <x v="8"/>
    <s v="Bokaro"/>
  </r>
  <r>
    <s v="March"/>
    <s v="TXN10040"/>
    <s v="P1001"/>
    <s v="Laptop Pro 14"/>
    <n v="39547"/>
    <x v="39"/>
    <n v="18728"/>
    <n v="3745.6000000000004"/>
    <x v="9"/>
    <x v="9"/>
    <s v="Patna"/>
  </r>
  <r>
    <s v="March"/>
    <s v="TXN10041"/>
    <s v="P1006"/>
    <s v="Laser Projector"/>
    <n v="47982"/>
    <x v="40"/>
    <n v="8639"/>
    <n v="1727.8000000000002"/>
    <x v="0"/>
    <x v="0"/>
    <s v="Bokaro"/>
  </r>
  <r>
    <s v="March"/>
    <s v="TXN10042"/>
    <s v="P1003"/>
    <s v="Wireless Printer"/>
    <n v="75252"/>
    <x v="41"/>
    <n v="21891"/>
    <n v="4378.2"/>
    <x v="1"/>
    <x v="1"/>
    <s v="Patna"/>
  </r>
  <r>
    <s v="April"/>
    <s v="TXN10043"/>
    <s v="P1011"/>
    <s v="Barcode Scanner"/>
    <n v="74315"/>
    <x v="42"/>
    <n v="6769"/>
    <n v="1353.8000000000002"/>
    <x v="2"/>
    <x v="2"/>
    <s v="Dhanbad"/>
  </r>
  <r>
    <s v="April"/>
    <s v="TXN10044"/>
    <s v="P1011"/>
    <s v="Barcode Scanner"/>
    <n v="82289"/>
    <x v="43"/>
    <n v="17857"/>
    <n v="3571.4"/>
    <x v="3"/>
    <x v="3"/>
    <s v="Dhanbad"/>
  </r>
  <r>
    <s v="April"/>
    <s v="TXN10045"/>
    <s v="P1007"/>
    <s v="Desktop Computer"/>
    <n v="55829"/>
    <x v="44"/>
    <n v="8392"/>
    <n v="1678.4"/>
    <x v="4"/>
    <x v="4"/>
    <s v="Dhanbad"/>
  </r>
  <r>
    <s v="April"/>
    <s v="TXN10046"/>
    <s v="P1011"/>
    <s v="Barcode Scanner"/>
    <n v="41121"/>
    <x v="45"/>
    <n v="4509"/>
    <n v="450.90000000000003"/>
    <x v="5"/>
    <x v="5"/>
    <s v="Jamshedpur"/>
  </r>
  <r>
    <s v="April"/>
    <s v="TXN10047"/>
    <s v="P1002"/>
    <s v="Office Monitor 24"/>
    <n v="43681"/>
    <x v="46"/>
    <n v="19438"/>
    <n v="3887.6000000000004"/>
    <x v="6"/>
    <x v="6"/>
    <s v="Jamshedpur"/>
  </r>
  <r>
    <s v="April"/>
    <s v="TXN10048"/>
    <s v="P1002"/>
    <s v="Office Monitor 24"/>
    <n v="52285"/>
    <x v="47"/>
    <n v="6722"/>
    <n v="1344.4"/>
    <x v="7"/>
    <x v="7"/>
    <s v="Ranchi"/>
  </r>
  <r>
    <s v="April"/>
    <s v="TXN10049"/>
    <s v="P1001"/>
    <s v="Laptop Pro 14"/>
    <n v="67144"/>
    <x v="48"/>
    <n v="9956"/>
    <n v="1991.2"/>
    <x v="8"/>
    <x v="8"/>
    <s v="Patna"/>
  </r>
  <r>
    <s v="April"/>
    <s v="TXN10050"/>
    <s v="P1002"/>
    <s v="Office Monitor 24"/>
    <n v="53829"/>
    <x v="49"/>
    <n v="5835"/>
    <n v="1167"/>
    <x v="9"/>
    <x v="9"/>
    <s v="Ranchi"/>
  </r>
  <r>
    <s v="April"/>
    <s v="TXN10051"/>
    <s v="P1004"/>
    <s v="Office Chair"/>
    <n v="40328"/>
    <x v="50"/>
    <n v="5216"/>
    <n v="521.6"/>
    <x v="0"/>
    <x v="0"/>
    <s v="Kolkata"/>
  </r>
  <r>
    <s v="April"/>
    <s v="TXN10052"/>
    <s v="P1005"/>
    <s v="Business Tablet"/>
    <n v="52766"/>
    <x v="51"/>
    <n v="16932"/>
    <n v="3386.4"/>
    <x v="1"/>
    <x v="1"/>
    <s v="Dhanbad"/>
  </r>
  <r>
    <s v="April"/>
    <s v="TXN10053"/>
    <s v="P1002"/>
    <s v="Office Monitor 24"/>
    <n v="37559"/>
    <x v="52"/>
    <n v="20993"/>
    <n v="4198.6000000000004"/>
    <x v="2"/>
    <x v="2"/>
    <s v="Dhanbad"/>
  </r>
  <r>
    <s v="April"/>
    <s v="TXN10054"/>
    <s v="P1008"/>
    <s v="Conference Camera"/>
    <n v="61708"/>
    <x v="53"/>
    <n v="15218"/>
    <n v="3043.6000000000004"/>
    <x v="3"/>
    <x v="3"/>
    <s v="Ranchi"/>
  </r>
  <r>
    <s v="April"/>
    <s v="TXN10055"/>
    <s v="P1003"/>
    <s v="Wireless Printer"/>
    <n v="36696"/>
    <x v="54"/>
    <n v="16227"/>
    <n v="3245.4"/>
    <x v="4"/>
    <x v="4"/>
    <s v="Kolkata"/>
  </r>
  <r>
    <s v="April"/>
    <s v="TXN10056"/>
    <s v="P1005"/>
    <s v="Business Tablet"/>
    <n v="43683"/>
    <x v="55"/>
    <n v="9669"/>
    <n v="1933.8000000000002"/>
    <x v="5"/>
    <x v="5"/>
    <s v="Jamshedpur"/>
  </r>
  <r>
    <s v="May"/>
    <s v="TXN10057"/>
    <s v="P1009"/>
    <s v="Office Desk"/>
    <n v="31513"/>
    <x v="56"/>
    <n v="11724"/>
    <n v="1172.4000000000001"/>
    <x v="6"/>
    <x v="6"/>
    <s v="Patna"/>
  </r>
  <r>
    <s v="May"/>
    <s v="TXN10058"/>
    <s v="P1006"/>
    <s v="Laser Projector"/>
    <n v="39607"/>
    <x v="57"/>
    <n v="5886"/>
    <n v="588.6"/>
    <x v="7"/>
    <x v="7"/>
    <s v="Patna"/>
  </r>
  <r>
    <s v="May"/>
    <s v="TXN10059"/>
    <s v="P1005"/>
    <s v="Business Tablet"/>
    <n v="72134"/>
    <x v="58"/>
    <n v="7982"/>
    <n v="1596.4"/>
    <x v="8"/>
    <x v="8"/>
    <s v="Kolkata"/>
  </r>
  <r>
    <s v="May"/>
    <s v="TXN10060"/>
    <s v="P1005"/>
    <s v="Business Tablet"/>
    <n v="63973"/>
    <x v="59"/>
    <n v="17016"/>
    <n v="3403.2000000000003"/>
    <x v="9"/>
    <x v="9"/>
    <s v="Jamshedpur"/>
  </r>
  <r>
    <s v="May"/>
    <s v="TXN10061"/>
    <s v="P1006"/>
    <s v="Laser Projector"/>
    <n v="35300"/>
    <x v="60"/>
    <n v="8362"/>
    <n v="836.2"/>
    <x v="0"/>
    <x v="0"/>
    <s v="Patna"/>
  </r>
  <r>
    <s v="May"/>
    <s v="TXN10062"/>
    <s v="P1009"/>
    <s v="Office Desk"/>
    <n v="51604"/>
    <x v="61"/>
    <n v="12308"/>
    <n v="2461.6000000000004"/>
    <x v="1"/>
    <x v="1"/>
    <s v="Patna"/>
  </r>
  <r>
    <s v="May"/>
    <s v="TXN10063"/>
    <s v="P1004"/>
    <s v="Office Chair"/>
    <n v="82827"/>
    <x v="62"/>
    <n v="12844"/>
    <n v="2568.8000000000002"/>
    <x v="2"/>
    <x v="2"/>
    <s v="Dhanbad"/>
  </r>
  <r>
    <s v="May"/>
    <s v="TXN10064"/>
    <s v="P1012"/>
    <s v="UPS Backup System"/>
    <n v="82646"/>
    <x v="63"/>
    <n v="12429"/>
    <n v="2485.8000000000002"/>
    <x v="3"/>
    <x v="3"/>
    <s v="Jamshedpur"/>
  </r>
  <r>
    <s v="May"/>
    <s v="TXN10065"/>
    <s v="P1009"/>
    <s v="Office Desk"/>
    <n v="62294"/>
    <x v="64"/>
    <n v="16651"/>
    <n v="3330.2000000000003"/>
    <x v="4"/>
    <x v="4"/>
    <s v="Kolkata"/>
  </r>
  <r>
    <s v="May"/>
    <s v="TXN10066"/>
    <s v="P1001"/>
    <s v="Laptop Pro 14"/>
    <n v="28915"/>
    <x v="65"/>
    <n v="6288"/>
    <n v="628.80000000000007"/>
    <x v="5"/>
    <x v="5"/>
    <s v="Dhanbad"/>
  </r>
  <r>
    <s v="May"/>
    <s v="TXN10067"/>
    <s v="P1005"/>
    <s v="Business Tablet"/>
    <n v="42690"/>
    <x v="66"/>
    <n v="16281"/>
    <n v="3256.2000000000003"/>
    <x v="6"/>
    <x v="6"/>
    <s v="Dhanbad"/>
  </r>
  <r>
    <s v="May"/>
    <s v="TXN10068"/>
    <s v="P1012"/>
    <s v="UPS Backup System"/>
    <n v="52906"/>
    <x v="67"/>
    <n v="16948"/>
    <n v="3389.6000000000004"/>
    <x v="7"/>
    <x v="7"/>
    <s v="Ranchi"/>
  </r>
  <r>
    <s v="May"/>
    <s v="TXN10069"/>
    <s v="P1004"/>
    <s v="Office Chair"/>
    <n v="36694"/>
    <x v="68"/>
    <n v="12433"/>
    <n v="1243.3000000000002"/>
    <x v="8"/>
    <x v="8"/>
    <s v="Dhanbad"/>
  </r>
  <r>
    <s v="June"/>
    <s v="TXN10070"/>
    <s v="P1004"/>
    <s v="Office Chair"/>
    <n v="52133"/>
    <x v="69"/>
    <n v="11696"/>
    <n v="2339.2000000000003"/>
    <x v="9"/>
    <x v="9"/>
    <s v="Dhanbad"/>
  </r>
  <r>
    <s v="June"/>
    <s v="TXN10071"/>
    <s v="P1010"/>
    <s v="Network Router"/>
    <n v="47997"/>
    <x v="70"/>
    <n v="4015"/>
    <n v="803"/>
    <x v="0"/>
    <x v="0"/>
    <s v="Dhanbad"/>
  </r>
  <r>
    <s v="June"/>
    <s v="TXN10072"/>
    <s v="P1011"/>
    <s v="Barcode Scanner"/>
    <n v="52544"/>
    <x v="71"/>
    <n v="7778"/>
    <n v="1555.6000000000001"/>
    <x v="1"/>
    <x v="1"/>
    <s v="Kolkata"/>
  </r>
  <r>
    <s v="June"/>
    <s v="TXN10073"/>
    <s v="P1002"/>
    <s v="Office Monitor 24"/>
    <n v="89623"/>
    <x v="72"/>
    <n v="17731"/>
    <n v="3546.2000000000003"/>
    <x v="2"/>
    <x v="2"/>
    <s v="Kolkata"/>
  </r>
  <r>
    <s v="June"/>
    <s v="TXN10074"/>
    <s v="P1004"/>
    <s v="Office Chair"/>
    <n v="61328"/>
    <x v="73"/>
    <n v="10849"/>
    <n v="2169.8000000000002"/>
    <x v="3"/>
    <x v="3"/>
    <s v="Dhanbad"/>
  </r>
  <r>
    <s v="June"/>
    <s v="TXN10075"/>
    <s v="P1011"/>
    <s v="Barcode Scanner"/>
    <n v="51791"/>
    <x v="74"/>
    <n v="7842"/>
    <n v="1568.4"/>
    <x v="4"/>
    <x v="4"/>
    <s v="Kolkata"/>
  </r>
  <r>
    <s v="June"/>
    <s v="TXN10076"/>
    <s v="P1007"/>
    <s v="Desktop Computer"/>
    <n v="43176"/>
    <x v="75"/>
    <n v="7288"/>
    <n v="1457.6000000000001"/>
    <x v="5"/>
    <x v="5"/>
    <s v="Kolkata"/>
  </r>
  <r>
    <s v="June"/>
    <s v="TXN10077"/>
    <s v="P1002"/>
    <s v="Office Monitor 24"/>
    <n v="77500"/>
    <x v="76"/>
    <n v="10205"/>
    <n v="2041"/>
    <x v="6"/>
    <x v="6"/>
    <s v="Jamshedpur"/>
  </r>
  <r>
    <s v="June"/>
    <s v="TXN10078"/>
    <s v="P1003"/>
    <s v="Wireless Printer"/>
    <n v="31805"/>
    <x v="77"/>
    <n v="9952"/>
    <n v="995.2"/>
    <x v="7"/>
    <x v="7"/>
    <s v="Patna"/>
  </r>
  <r>
    <s v="June"/>
    <s v="TXN10079"/>
    <s v="P1008"/>
    <s v="Conference Camera"/>
    <n v="82854"/>
    <x v="78"/>
    <n v="9789"/>
    <n v="1957.8000000000002"/>
    <x v="8"/>
    <x v="8"/>
    <s v="Patna"/>
  </r>
  <r>
    <s v="June"/>
    <s v="TXN10080"/>
    <s v="P1010"/>
    <s v="Network Router"/>
    <n v="61087"/>
    <x v="79"/>
    <n v="16482"/>
    <n v="3296.4"/>
    <x v="9"/>
    <x v="9"/>
    <s v="Jamshedpur"/>
  </r>
  <r>
    <s v="June"/>
    <s v="TXN10081"/>
    <s v="P1009"/>
    <s v="Office Desk"/>
    <n v="45966"/>
    <x v="80"/>
    <n v="5073"/>
    <n v="1014.6"/>
    <x v="0"/>
    <x v="0"/>
    <s v="Ranchi"/>
  </r>
  <r>
    <s v="June"/>
    <s v="TXN10082"/>
    <s v="P1001"/>
    <s v="Laptop Pro 14"/>
    <n v="82386"/>
    <x v="81"/>
    <n v="8367"/>
    <n v="1673.4"/>
    <x v="1"/>
    <x v="1"/>
    <s v="Patna"/>
  </r>
  <r>
    <s v="July"/>
    <s v="TXN10083"/>
    <s v="P1012"/>
    <s v="UPS Backup System"/>
    <n v="39125"/>
    <x v="82"/>
    <n v="19215"/>
    <n v="3843"/>
    <x v="2"/>
    <x v="2"/>
    <s v="Jamshedpur"/>
  </r>
  <r>
    <s v="July"/>
    <s v="TXN10084"/>
    <s v="P1004"/>
    <s v="Office Chair"/>
    <n v="31834"/>
    <x v="83"/>
    <n v="13252"/>
    <n v="1325.2"/>
    <x v="3"/>
    <x v="3"/>
    <s v="Jamshedpur"/>
  </r>
  <r>
    <s v="July"/>
    <s v="TXN10085"/>
    <s v="P1005"/>
    <s v="Business Tablet"/>
    <n v="62844"/>
    <x v="84"/>
    <n v="12881"/>
    <n v="2576.2000000000003"/>
    <x v="4"/>
    <x v="4"/>
    <s v="Patna"/>
  </r>
  <r>
    <s v="July"/>
    <s v="TXN10086"/>
    <s v="P1006"/>
    <s v="Laser Projector"/>
    <n v="36498"/>
    <x v="85"/>
    <n v="8459"/>
    <n v="845.90000000000009"/>
    <x v="5"/>
    <x v="5"/>
    <s v="Dhanbad"/>
  </r>
  <r>
    <s v="July"/>
    <s v="TXN10087"/>
    <s v="P1003"/>
    <s v="Wireless Printer"/>
    <n v="33991"/>
    <x v="86"/>
    <n v="16592"/>
    <n v="3318.4"/>
    <x v="6"/>
    <x v="6"/>
    <s v="Dhanbad"/>
  </r>
  <r>
    <s v="July"/>
    <s v="TXN10088"/>
    <s v="P1011"/>
    <s v="Barcode Scanner"/>
    <n v="68230"/>
    <x v="87"/>
    <n v="21933"/>
    <n v="4386.6000000000004"/>
    <x v="7"/>
    <x v="7"/>
    <s v="Dhanbad"/>
  </r>
  <r>
    <s v="July"/>
    <s v="TXN10089"/>
    <s v="P1009"/>
    <s v="Office Desk"/>
    <n v="38569"/>
    <x v="88"/>
    <n v="9975"/>
    <n v="997.5"/>
    <x v="8"/>
    <x v="8"/>
    <s v="Patna"/>
  </r>
  <r>
    <s v="July"/>
    <s v="TXN10090"/>
    <s v="P1009"/>
    <s v="Office Desk"/>
    <n v="31225"/>
    <x v="89"/>
    <n v="19422"/>
    <n v="3884.4"/>
    <x v="9"/>
    <x v="9"/>
    <s v="Jamshedpur"/>
  </r>
  <r>
    <s v="July"/>
    <s v="TXN10091"/>
    <s v="P1010"/>
    <s v="Network Router"/>
    <n v="28128"/>
    <x v="90"/>
    <n v="5227"/>
    <n v="522.70000000000005"/>
    <x v="0"/>
    <x v="0"/>
    <s v="Jamshedpur"/>
  </r>
  <r>
    <s v="July"/>
    <s v="TXN10092"/>
    <s v="P1003"/>
    <s v="Wireless Printer"/>
    <n v="61030"/>
    <x v="91"/>
    <n v="8943"/>
    <n v="1788.6000000000001"/>
    <x v="1"/>
    <x v="1"/>
    <s v="Patna"/>
  </r>
  <r>
    <s v="July"/>
    <s v="TXN10093"/>
    <s v="P1001"/>
    <s v="Laptop Pro 14"/>
    <n v="51363"/>
    <x v="92"/>
    <n v="21985"/>
    <n v="4397"/>
    <x v="2"/>
    <x v="2"/>
    <s v="Patna"/>
  </r>
  <r>
    <s v="July"/>
    <s v="TXN10094"/>
    <s v="P1009"/>
    <s v="Office Desk"/>
    <n v="61620"/>
    <x v="93"/>
    <n v="8476"/>
    <n v="1695.2"/>
    <x v="3"/>
    <x v="3"/>
    <s v="Patna"/>
  </r>
  <r>
    <s v="July"/>
    <s v="TXN10095"/>
    <s v="P1001"/>
    <s v="Laptop Pro 14"/>
    <n v="46285"/>
    <x v="94"/>
    <n v="11268"/>
    <n v="2253.6"/>
    <x v="4"/>
    <x v="4"/>
    <s v="Bokaro"/>
  </r>
  <r>
    <s v="August"/>
    <s v="TXN10096"/>
    <s v="P1001"/>
    <s v="Laptop Pro 14"/>
    <n v="31202"/>
    <x v="95"/>
    <n v="8159"/>
    <n v="815.90000000000009"/>
    <x v="5"/>
    <x v="5"/>
    <s v="Dhanbad"/>
  </r>
  <r>
    <s v="August"/>
    <s v="TXN10097"/>
    <s v="P1009"/>
    <s v="Office Desk"/>
    <n v="31826"/>
    <x v="96"/>
    <n v="7076"/>
    <n v="707.6"/>
    <x v="6"/>
    <x v="6"/>
    <s v="Dhanbad"/>
  </r>
  <r>
    <s v="August"/>
    <s v="TXN10098"/>
    <s v="P1006"/>
    <s v="Laser Projector"/>
    <n v="70142"/>
    <x v="97"/>
    <n v="21565"/>
    <n v="4313"/>
    <x v="7"/>
    <x v="7"/>
    <s v="Patna"/>
  </r>
  <r>
    <s v="August"/>
    <s v="TXN10099"/>
    <s v="P1009"/>
    <s v="Office Desk"/>
    <n v="43068"/>
    <x v="98"/>
    <n v="14082"/>
    <n v="2816.4"/>
    <x v="8"/>
    <x v="8"/>
    <s v="Dhanbad"/>
  </r>
  <r>
    <s v="August"/>
    <s v="TXN10100"/>
    <s v="P1009"/>
    <s v="Office Desk"/>
    <n v="64949"/>
    <x v="99"/>
    <n v="20664"/>
    <n v="4132.8"/>
    <x v="9"/>
    <x v="9"/>
    <s v="Patna"/>
  </r>
  <r>
    <s v="August"/>
    <s v="TXN10101"/>
    <s v="P1004"/>
    <s v="Office Chair"/>
    <n v="45144"/>
    <x v="100"/>
    <n v="6126"/>
    <n v="1225.2"/>
    <x v="0"/>
    <x v="0"/>
    <s v="Patna"/>
  </r>
  <r>
    <s v="August"/>
    <s v="TXN10102"/>
    <s v="P1004"/>
    <s v="Office Chair"/>
    <n v="85050"/>
    <x v="101"/>
    <n v="19664"/>
    <n v="3932.8"/>
    <x v="1"/>
    <x v="1"/>
    <s v="Jamshedpur"/>
  </r>
  <r>
    <s v="August"/>
    <s v="TXN10103"/>
    <s v="P1007"/>
    <s v="Desktop Computer"/>
    <n v="37970"/>
    <x v="102"/>
    <n v="17856"/>
    <n v="3571.2000000000003"/>
    <x v="2"/>
    <x v="2"/>
    <s v="Dhanbad"/>
  </r>
  <r>
    <s v="August"/>
    <s v="TXN10104"/>
    <s v="P1006"/>
    <s v="Laser Projector"/>
    <n v="34754"/>
    <x v="103"/>
    <n v="12885"/>
    <n v="1288.5"/>
    <x v="3"/>
    <x v="3"/>
    <s v="Dhanbad"/>
  </r>
  <r>
    <s v="August"/>
    <s v="TXN10105"/>
    <s v="P1002"/>
    <s v="Office Monitor 24"/>
    <n v="43938"/>
    <x v="104"/>
    <n v="14921"/>
    <n v="2984.2000000000003"/>
    <x v="4"/>
    <x v="4"/>
    <s v="Ranchi"/>
  </r>
  <r>
    <s v="August"/>
    <s v="TXN10106"/>
    <s v="P1003"/>
    <s v="Wireless Printer"/>
    <n v="39999"/>
    <x v="105"/>
    <n v="5171"/>
    <n v="517.1"/>
    <x v="5"/>
    <x v="5"/>
    <s v="Bokaro"/>
  </r>
  <r>
    <s v="August"/>
    <s v="TXN10107"/>
    <s v="P1003"/>
    <s v="Wireless Printer"/>
    <n v="60653"/>
    <x v="106"/>
    <n v="12195"/>
    <n v="2439"/>
    <x v="6"/>
    <x v="6"/>
    <s v="Kolkata"/>
  </r>
  <r>
    <s v="August"/>
    <s v="TXN10108"/>
    <s v="P1002"/>
    <s v="Office Monitor 24"/>
    <n v="56100"/>
    <x v="107"/>
    <n v="20966"/>
    <n v="4193.2"/>
    <x v="7"/>
    <x v="7"/>
    <s v="Jamshedpur"/>
  </r>
  <r>
    <s v="September"/>
    <s v="TXN10109"/>
    <s v="P1011"/>
    <s v="Barcode Scanner"/>
    <n v="84555"/>
    <x v="108"/>
    <n v="12330"/>
    <n v="2466"/>
    <x v="8"/>
    <x v="8"/>
    <s v="Jamshedpur"/>
  </r>
  <r>
    <s v="September"/>
    <s v="TXN10110"/>
    <s v="P1012"/>
    <s v="UPS Backup System"/>
    <n v="58280"/>
    <x v="109"/>
    <n v="21895"/>
    <n v="4379"/>
    <x v="9"/>
    <x v="9"/>
    <s v="Dhanbad"/>
  </r>
  <r>
    <s v="September"/>
    <s v="TXN10111"/>
    <s v="P1006"/>
    <s v="Laser Projector"/>
    <n v="41804"/>
    <x v="110"/>
    <n v="5603"/>
    <n v="560.30000000000007"/>
    <x v="0"/>
    <x v="0"/>
    <s v="Bokaro"/>
  </r>
  <r>
    <s v="September"/>
    <s v="TXN10112"/>
    <s v="P1006"/>
    <s v="Laser Projector"/>
    <n v="36042"/>
    <x v="111"/>
    <n v="16991"/>
    <n v="3398.2000000000003"/>
    <x v="1"/>
    <x v="1"/>
    <s v="Ranchi"/>
  </r>
  <r>
    <s v="September"/>
    <s v="TXN10113"/>
    <s v="P1006"/>
    <s v="Laser Projector"/>
    <n v="66310"/>
    <x v="112"/>
    <n v="20029"/>
    <n v="4005.8"/>
    <x v="2"/>
    <x v="2"/>
    <s v="Dhanbad"/>
  </r>
  <r>
    <s v="September"/>
    <s v="TXN10114"/>
    <s v="P1012"/>
    <s v="UPS Backup System"/>
    <n v="31185"/>
    <x v="113"/>
    <n v="17594"/>
    <n v="1759.4"/>
    <x v="3"/>
    <x v="3"/>
    <s v="Bokaro"/>
  </r>
  <r>
    <s v="September"/>
    <s v="TXN10115"/>
    <s v="P1009"/>
    <s v="Office Desk"/>
    <n v="70889"/>
    <x v="114"/>
    <n v="14681"/>
    <n v="2936.2000000000003"/>
    <x v="4"/>
    <x v="4"/>
    <s v="Patna"/>
  </r>
  <r>
    <s v="September"/>
    <s v="TXN10116"/>
    <s v="P1002"/>
    <s v="Office Monitor 24"/>
    <n v="31697"/>
    <x v="115"/>
    <n v="5872"/>
    <n v="587.20000000000005"/>
    <x v="5"/>
    <x v="5"/>
    <s v="Ranchi"/>
  </r>
  <r>
    <s v="September"/>
    <s v="TXN10117"/>
    <s v="P1002"/>
    <s v="Office Monitor 24"/>
    <n v="47404"/>
    <x v="116"/>
    <n v="13910"/>
    <n v="2782"/>
    <x v="6"/>
    <x v="6"/>
    <s v="Ranchi"/>
  </r>
  <r>
    <s v="September"/>
    <s v="TXN10118"/>
    <s v="P1003"/>
    <s v="Wireless Printer"/>
    <n v="47723"/>
    <x v="117"/>
    <n v="9245"/>
    <n v="1849"/>
    <x v="7"/>
    <x v="7"/>
    <s v="Dhanbad"/>
  </r>
  <r>
    <s v="September"/>
    <s v="TXN10119"/>
    <s v="P1011"/>
    <s v="Barcode Scanner"/>
    <n v="83672"/>
    <x v="118"/>
    <n v="13474"/>
    <n v="2694.8"/>
    <x v="8"/>
    <x v="8"/>
    <s v="Dhanbad"/>
  </r>
  <r>
    <s v="September"/>
    <s v="TXN10120"/>
    <s v="P1003"/>
    <s v="Wireless Printer"/>
    <n v="65166"/>
    <x v="119"/>
    <n v="21868"/>
    <n v="4373.6000000000004"/>
    <x v="9"/>
    <x v="9"/>
    <s v="Patna"/>
  </r>
  <r>
    <s v="September"/>
    <s v="TXN10121"/>
    <s v="P1008"/>
    <s v="Conference Camera"/>
    <n v="38716"/>
    <x v="120"/>
    <n v="4732"/>
    <n v="473.20000000000005"/>
    <x v="0"/>
    <x v="0"/>
    <s v="Bokaro"/>
  </r>
  <r>
    <s v="October"/>
    <s v="TXN10122"/>
    <s v="P1001"/>
    <s v="Laptop Pro 14"/>
    <n v="82401"/>
    <x v="121"/>
    <n v="11007"/>
    <n v="2201.4"/>
    <x v="1"/>
    <x v="1"/>
    <s v="Dhanbad"/>
  </r>
  <r>
    <s v="October"/>
    <s v="TXN10123"/>
    <s v="P1002"/>
    <s v="Office Monitor 24"/>
    <n v="47624"/>
    <x v="122"/>
    <n v="5551"/>
    <n v="1110.2"/>
    <x v="2"/>
    <x v="2"/>
    <s v="Kolkata"/>
  </r>
  <r>
    <s v="October"/>
    <s v="TXN10124"/>
    <s v="P1002"/>
    <s v="Office Monitor 24"/>
    <n v="82535"/>
    <x v="123"/>
    <n v="13537"/>
    <n v="2707.4"/>
    <x v="3"/>
    <x v="3"/>
    <s v="Ranchi"/>
  </r>
  <r>
    <s v="October"/>
    <s v="TXN10125"/>
    <s v="P1010"/>
    <s v="Network Router"/>
    <n v="86113"/>
    <x v="124"/>
    <n v="12287"/>
    <n v="2457.4"/>
    <x v="4"/>
    <x v="4"/>
    <s v="Ranchi"/>
  </r>
  <r>
    <s v="October"/>
    <s v="TXN10126"/>
    <s v="P1005"/>
    <s v="Business Tablet"/>
    <n v="31987"/>
    <x v="125"/>
    <n v="7717"/>
    <n v="771.7"/>
    <x v="5"/>
    <x v="5"/>
    <s v="Ranchi"/>
  </r>
  <r>
    <s v="October"/>
    <s v="TXN10127"/>
    <s v="P1006"/>
    <s v="Laser Projector"/>
    <n v="66245"/>
    <x v="126"/>
    <n v="18689"/>
    <n v="3737.8"/>
    <x v="6"/>
    <x v="6"/>
    <s v="Bokaro"/>
  </r>
  <r>
    <s v="October"/>
    <s v="TXN10128"/>
    <s v="P1010"/>
    <s v="Network Router"/>
    <n v="38468"/>
    <x v="127"/>
    <n v="6415"/>
    <n v="641.5"/>
    <x v="7"/>
    <x v="7"/>
    <s v="Patna"/>
  </r>
  <r>
    <s v="October"/>
    <s v="TXN10129"/>
    <s v="P1012"/>
    <s v="UPS Backup System"/>
    <n v="45626"/>
    <x v="128"/>
    <n v="8586"/>
    <n v="1717.2"/>
    <x v="8"/>
    <x v="8"/>
    <s v="Jamshedpur"/>
  </r>
  <r>
    <s v="October"/>
    <s v="TXN10130"/>
    <s v="P1005"/>
    <s v="Business Tablet"/>
    <n v="33301"/>
    <x v="129"/>
    <n v="10935"/>
    <n v="1093.5"/>
    <x v="9"/>
    <x v="9"/>
    <s v="Jamshedpur"/>
  </r>
  <r>
    <s v="October"/>
    <s v="TXN10131"/>
    <s v="P1005"/>
    <s v="Business Tablet"/>
    <n v="37994"/>
    <x v="130"/>
    <n v="8350"/>
    <n v="835"/>
    <x v="0"/>
    <x v="0"/>
    <s v="Jamshedpur"/>
  </r>
  <r>
    <s v="October"/>
    <s v="TXN10132"/>
    <s v="P1005"/>
    <s v="Business Tablet"/>
    <n v="59208"/>
    <x v="131"/>
    <n v="21386"/>
    <n v="4277.2"/>
    <x v="1"/>
    <x v="1"/>
    <s v="Kolkata"/>
  </r>
  <r>
    <s v="October"/>
    <s v="TXN10133"/>
    <s v="P1003"/>
    <s v="Wireless Printer"/>
    <n v="47728"/>
    <x v="132"/>
    <n v="16370"/>
    <n v="3274"/>
    <x v="2"/>
    <x v="2"/>
    <s v="Ranchi"/>
  </r>
  <r>
    <s v="October"/>
    <s v="TXN10134"/>
    <s v="P1005"/>
    <s v="Business Tablet"/>
    <n v="32421"/>
    <x v="133"/>
    <n v="5502"/>
    <n v="550.20000000000005"/>
    <x v="3"/>
    <x v="3"/>
    <s v="Ranchi"/>
  </r>
  <r>
    <s v="November"/>
    <s v="TXN10135"/>
    <s v="P1012"/>
    <s v="UPS Backup System"/>
    <n v="63138"/>
    <x v="134"/>
    <n v="11208"/>
    <n v="2241.6"/>
    <x v="4"/>
    <x v="4"/>
    <s v="Patna"/>
  </r>
  <r>
    <s v="November"/>
    <s v="TXN10136"/>
    <s v="P1008"/>
    <s v="Conference Camera"/>
    <n v="36050"/>
    <x v="135"/>
    <n v="7662"/>
    <n v="766.2"/>
    <x v="5"/>
    <x v="5"/>
    <s v="Ranchi"/>
  </r>
  <r>
    <s v="November"/>
    <s v="TXN10137"/>
    <s v="P1011"/>
    <s v="Barcode Scanner"/>
    <n v="83668"/>
    <x v="136"/>
    <n v="19161"/>
    <n v="3832.2000000000003"/>
    <x v="6"/>
    <x v="6"/>
    <s v="Kolkata"/>
  </r>
  <r>
    <s v="November"/>
    <s v="TXN10138"/>
    <s v="P1008"/>
    <s v="Conference Camera"/>
    <n v="65776"/>
    <x v="137"/>
    <n v="17880"/>
    <n v="3576"/>
    <x v="7"/>
    <x v="7"/>
    <s v="Patna"/>
  </r>
  <r>
    <s v="November"/>
    <s v="TXN10139"/>
    <s v="P1005"/>
    <s v="Business Tablet"/>
    <n v="75071"/>
    <x v="138"/>
    <n v="12051"/>
    <n v="2410.2000000000003"/>
    <x v="8"/>
    <x v="8"/>
    <s v="Jamshedpur"/>
  </r>
  <r>
    <s v="November"/>
    <s v="TXN10140"/>
    <s v="P1006"/>
    <s v="Laser Projector"/>
    <n v="43017"/>
    <x v="139"/>
    <n v="9578"/>
    <n v="1915.6000000000001"/>
    <x v="9"/>
    <x v="9"/>
    <s v="Dhanbad"/>
  </r>
  <r>
    <s v="November"/>
    <s v="TXN10141"/>
    <s v="P1006"/>
    <s v="Laser Projector"/>
    <n v="29782"/>
    <x v="140"/>
    <n v="5063"/>
    <n v="506.3"/>
    <x v="0"/>
    <x v="0"/>
    <s v="Ranchi"/>
  </r>
  <r>
    <s v="November"/>
    <s v="TXN10142"/>
    <s v="P1002"/>
    <s v="Office Monitor 24"/>
    <n v="70989"/>
    <x v="141"/>
    <n v="13375"/>
    <n v="2675"/>
    <x v="1"/>
    <x v="1"/>
    <s v="Dhanbad"/>
  </r>
  <r>
    <s v="November"/>
    <s v="TXN10143"/>
    <s v="P1003"/>
    <s v="Wireless Printer"/>
    <n v="33630"/>
    <x v="142"/>
    <n v="7768"/>
    <n v="776.80000000000007"/>
    <x v="2"/>
    <x v="2"/>
    <s v="Kolkata"/>
  </r>
  <r>
    <s v="November"/>
    <s v="TXN10144"/>
    <s v="P1007"/>
    <s v="Desktop Computer"/>
    <n v="87051"/>
    <x v="143"/>
    <n v="21578"/>
    <n v="4315.6000000000004"/>
    <x v="3"/>
    <x v="3"/>
    <s v="Kolkata"/>
  </r>
  <r>
    <s v="November"/>
    <s v="TXN10145"/>
    <s v="P1005"/>
    <s v="Business Tablet"/>
    <n v="69241"/>
    <x v="144"/>
    <n v="12936"/>
    <n v="2587.2000000000003"/>
    <x v="4"/>
    <x v="4"/>
    <s v="Kolkata"/>
  </r>
  <r>
    <s v="November"/>
    <s v="TXN10146"/>
    <s v="P1005"/>
    <s v="Business Tablet"/>
    <n v="29482"/>
    <x v="145"/>
    <n v="7763"/>
    <n v="776.30000000000007"/>
    <x v="5"/>
    <x v="5"/>
    <s v="Jamshedpur"/>
  </r>
  <r>
    <s v="November"/>
    <s v="TXN10147"/>
    <s v="P1003"/>
    <s v="Wireless Printer"/>
    <n v="47631"/>
    <x v="146"/>
    <n v="19608"/>
    <n v="3921.6000000000004"/>
    <x v="6"/>
    <x v="6"/>
    <s v="Ranchi"/>
  </r>
  <r>
    <s v="December"/>
    <s v="TXN10148"/>
    <s v="P1005"/>
    <s v="Business Tablet"/>
    <n v="53864"/>
    <x v="147"/>
    <n v="15778"/>
    <n v="3155.6000000000004"/>
    <x v="7"/>
    <x v="7"/>
    <s v="Patna"/>
  </r>
  <r>
    <s v="December"/>
    <s v="TXN10149"/>
    <s v="P1006"/>
    <s v="Laser Projector"/>
    <n v="46020"/>
    <x v="148"/>
    <n v="6128"/>
    <n v="1225.6000000000001"/>
    <x v="8"/>
    <x v="8"/>
    <s v="Bokaro"/>
  </r>
  <r>
    <s v="December"/>
    <s v="TXN10150"/>
    <s v="P1004"/>
    <s v="Office Chair"/>
    <n v="53369"/>
    <x v="149"/>
    <n v="10995"/>
    <n v="2199"/>
    <x v="9"/>
    <x v="9"/>
    <s v="Ranchi"/>
  </r>
  <r>
    <s v="December"/>
    <s v="TXN10151"/>
    <s v="P1006"/>
    <s v="Laser Projector"/>
    <n v="40505"/>
    <x v="150"/>
    <n v="4687"/>
    <n v="468.70000000000005"/>
    <x v="0"/>
    <x v="0"/>
    <s v="Dhanbad"/>
  </r>
  <r>
    <s v="December"/>
    <s v="TXN10152"/>
    <s v="P1005"/>
    <s v="Business Tablet"/>
    <n v="62949"/>
    <x v="151"/>
    <n v="11585"/>
    <n v="2317"/>
    <x v="1"/>
    <x v="1"/>
    <s v="Jamshedpur"/>
  </r>
  <r>
    <s v="December"/>
    <s v="TXN10153"/>
    <s v="P1009"/>
    <s v="Office Desk"/>
    <n v="80871"/>
    <x v="152"/>
    <n v="5162"/>
    <n v="1032.4000000000001"/>
    <x v="2"/>
    <x v="2"/>
    <s v="Ranchi"/>
  </r>
  <r>
    <s v="December"/>
    <s v="TXN10154"/>
    <s v="P1005"/>
    <s v="Business Tablet"/>
    <n v="83545"/>
    <x v="153"/>
    <n v="7941"/>
    <n v="1588.2"/>
    <x v="3"/>
    <x v="3"/>
    <s v="Jamshedpur"/>
  </r>
  <r>
    <s v="December"/>
    <s v="TXN10155"/>
    <s v="P1007"/>
    <s v="Desktop Computer"/>
    <n v="68456"/>
    <x v="154"/>
    <n v="6365"/>
    <n v="1273"/>
    <x v="4"/>
    <x v="4"/>
    <s v="Dhanbad"/>
  </r>
  <r>
    <s v="December"/>
    <s v="TXN10156"/>
    <s v="P1001"/>
    <s v="Laptop Pro 14"/>
    <n v="37818"/>
    <x v="155"/>
    <n v="6492"/>
    <n v="649.20000000000005"/>
    <x v="5"/>
    <x v="5"/>
    <s v="Kolkata"/>
  </r>
  <r>
    <s v="December"/>
    <s v="TXN10157"/>
    <s v="P1004"/>
    <s v="Office Chair"/>
    <n v="35536"/>
    <x v="156"/>
    <n v="10087"/>
    <n v="1008.7"/>
    <x v="6"/>
    <x v="6"/>
    <s v="Kolkata"/>
  </r>
  <r>
    <s v="December"/>
    <s v="TXN10158"/>
    <s v="P1012"/>
    <s v="UPS Backup System"/>
    <n v="81382"/>
    <x v="157"/>
    <n v="17763"/>
    <n v="3552.6000000000004"/>
    <x v="7"/>
    <x v="7"/>
    <s v="Bokaro"/>
  </r>
  <r>
    <s v="December"/>
    <s v="TXN10159"/>
    <s v="P1012"/>
    <s v="UPS Backup System"/>
    <n v="62387"/>
    <x v="158"/>
    <n v="9897"/>
    <n v="1979.4"/>
    <x v="8"/>
    <x v="8"/>
    <s v="Bokaro"/>
  </r>
  <r>
    <s v="December"/>
    <s v="TXN10160"/>
    <s v="P1012"/>
    <s v="UPS Backup System"/>
    <n v="70547"/>
    <x v="159"/>
    <n v="9743"/>
    <n v="1948.6000000000001"/>
    <x v="9"/>
    <x v="9"/>
    <s v="Ranch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BF563-089E-4C73-96D1-D39240BD22A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11">
    <pivotField showAll="0"/>
    <pivotField showAll="0"/>
    <pivotField showAll="0"/>
    <pivotField showAll="0"/>
    <pivotField numFmtId="164" showAll="0"/>
    <pivotField dataField="1" numFmtId="164" showAll="0">
      <items count="161">
        <item x="90"/>
        <item x="25"/>
        <item x="140"/>
        <item x="65"/>
        <item x="145"/>
        <item x="115"/>
        <item x="133"/>
        <item x="30"/>
        <item x="5"/>
        <item x="96"/>
        <item x="95"/>
        <item x="125"/>
        <item x="0"/>
        <item x="142"/>
        <item x="77"/>
        <item x="24"/>
        <item x="1"/>
        <item x="56"/>
        <item x="120"/>
        <item x="60"/>
        <item x="135"/>
        <item x="129"/>
        <item x="155"/>
        <item x="127"/>
        <item x="85"/>
        <item x="83"/>
        <item x="105"/>
        <item x="150"/>
        <item x="57"/>
        <item x="50"/>
        <item x="156"/>
        <item x="45"/>
        <item x="130"/>
        <item x="35"/>
        <item x="20"/>
        <item x="110"/>
        <item x="103"/>
        <item x="9"/>
        <item x="88"/>
        <item x="113"/>
        <item x="68"/>
        <item x="17"/>
        <item x="22"/>
        <item x="75"/>
        <item x="86"/>
        <item x="89"/>
        <item x="37"/>
        <item x="80"/>
        <item x="100"/>
        <item x="36"/>
        <item x="70"/>
        <item x="148"/>
        <item x="139"/>
        <item x="54"/>
        <item x="111"/>
        <item x="122"/>
        <item x="55"/>
        <item x="4"/>
        <item x="128"/>
        <item x="3"/>
        <item x="15"/>
        <item x="2"/>
        <item x="38"/>
        <item x="102"/>
        <item x="10"/>
        <item x="19"/>
        <item x="40"/>
        <item x="117"/>
        <item x="98"/>
        <item x="16"/>
        <item x="94"/>
        <item x="39"/>
        <item x="82"/>
        <item x="52"/>
        <item x="104"/>
        <item x="66"/>
        <item x="47"/>
        <item x="74"/>
        <item x="49"/>
        <item x="71"/>
        <item x="116"/>
        <item x="7"/>
        <item x="46"/>
        <item x="28"/>
        <item x="69"/>
        <item x="61"/>
        <item x="132"/>
        <item x="44"/>
        <item x="149"/>
        <item x="34"/>
        <item x="146"/>
        <item x="29"/>
        <item x="147"/>
        <item x="51"/>
        <item x="67"/>
        <item x="26"/>
        <item x="91"/>
        <item x="93"/>
        <item x="27"/>
        <item x="73"/>
        <item x="158"/>
        <item x="106"/>
        <item x="12"/>
        <item x="92"/>
        <item x="23"/>
        <item x="134"/>
        <item x="151"/>
        <item x="154"/>
        <item x="84"/>
        <item x="8"/>
        <item x="53"/>
        <item x="107"/>
        <item x="48"/>
        <item x="79"/>
        <item x="32"/>
        <item x="6"/>
        <item x="64"/>
        <item x="11"/>
        <item x="58"/>
        <item x="109"/>
        <item x="159"/>
        <item x="131"/>
        <item x="21"/>
        <item x="59"/>
        <item x="42"/>
        <item x="144"/>
        <item x="13"/>
        <item x="137"/>
        <item x="14"/>
        <item x="141"/>
        <item x="126"/>
        <item x="114"/>
        <item x="99"/>
        <item x="152"/>
        <item x="112"/>
        <item x="119"/>
        <item x="138"/>
        <item x="76"/>
        <item x="87"/>
        <item x="81"/>
        <item x="153"/>
        <item x="97"/>
        <item x="78"/>
        <item x="121"/>
        <item x="63"/>
        <item x="62"/>
        <item x="123"/>
        <item x="108"/>
        <item x="41"/>
        <item x="118"/>
        <item x="33"/>
        <item x="124"/>
        <item x="157"/>
        <item x="43"/>
        <item x="136"/>
        <item x="18"/>
        <item x="101"/>
        <item x="72"/>
        <item x="31"/>
        <item x="143"/>
        <item t="default"/>
      </items>
    </pivotField>
    <pivotField numFmtId="164" showAll="0"/>
    <pivotField numFmtId="44" showAll="0"/>
    <pivotField axis="axisRow" showAll="0">
      <items count="11">
        <item x="0"/>
        <item x="6"/>
        <item x="3"/>
        <item x="9"/>
        <item x="5"/>
        <item x="1"/>
        <item x="8"/>
        <item x="2"/>
        <item x="7"/>
        <item x="4"/>
        <item t="default"/>
      </items>
    </pivotField>
    <pivotField showAll="0">
      <items count="11">
        <item x="3"/>
        <item x="4"/>
        <item x="5"/>
        <item x="8"/>
        <item x="9"/>
        <item x="6"/>
        <item x="0"/>
        <item x="2"/>
        <item x="7"/>
        <item x="1"/>
        <item t="default"/>
      </items>
    </pivotField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 Price" fld="5" baseField="0" baseItem="0" numFmtId="16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BCDE-CE95-41A6-9815-D304717D2DA1}">
  <dimension ref="A1:AB28"/>
  <sheetViews>
    <sheetView zoomScale="64" zoomScaleNormal="85" workbookViewId="0">
      <selection activeCell="AD1" sqref="AD1"/>
    </sheetView>
  </sheetViews>
  <sheetFormatPr defaultRowHeight="14.4" x14ac:dyDescent="0.3"/>
  <cols>
    <col min="1" max="1" width="16.77734375" customWidth="1"/>
    <col min="2" max="2" width="13.77734375" customWidth="1"/>
    <col min="3" max="7" width="9.109375" bestFit="1" customWidth="1"/>
    <col min="8" max="12" width="8.21875" customWidth="1"/>
    <col min="13" max="13" width="15.33203125" bestFit="1" customWidth="1"/>
    <col min="14" max="17" width="15.33203125" customWidth="1"/>
    <col min="18" max="21" width="13.77734375" customWidth="1"/>
    <col min="22" max="22" width="11.5546875" customWidth="1"/>
    <col min="23" max="23" width="13" bestFit="1" customWidth="1"/>
    <col min="24" max="24" width="12.77734375" customWidth="1"/>
    <col min="25" max="25" width="14.33203125" customWidth="1"/>
    <col min="26" max="26" width="12.109375" customWidth="1"/>
    <col min="27" max="27" width="12.77734375" customWidth="1"/>
    <col min="28" max="28" width="18.6640625" customWidth="1"/>
  </cols>
  <sheetData>
    <row r="1" spans="1:28" x14ac:dyDescent="0.3">
      <c r="A1" t="s">
        <v>0</v>
      </c>
    </row>
    <row r="2" spans="1:28" x14ac:dyDescent="0.3">
      <c r="C2" s="31" t="s">
        <v>30</v>
      </c>
      <c r="D2" s="31"/>
      <c r="H2" t="s">
        <v>27</v>
      </c>
      <c r="M2" s="4" t="s">
        <v>28</v>
      </c>
      <c r="N2" s="4"/>
      <c r="O2" s="4"/>
      <c r="P2" s="4"/>
      <c r="Q2" s="4"/>
      <c r="R2" s="31" t="s">
        <v>29</v>
      </c>
      <c r="S2" s="31"/>
      <c r="W2" t="s">
        <v>31</v>
      </c>
      <c r="AB2" t="s">
        <v>32</v>
      </c>
    </row>
    <row r="3" spans="1:28" x14ac:dyDescent="0.3">
      <c r="A3" t="s">
        <v>2</v>
      </c>
      <c r="B3" t="s">
        <v>1</v>
      </c>
      <c r="C3" s="5">
        <v>46023</v>
      </c>
      <c r="D3" s="5">
        <v>46030</v>
      </c>
      <c r="E3" s="5">
        <v>46037</v>
      </c>
      <c r="F3" s="5">
        <v>46044</v>
      </c>
      <c r="G3" s="5">
        <v>46051</v>
      </c>
      <c r="H3" s="7">
        <v>46023</v>
      </c>
      <c r="I3" s="7">
        <f>H3+7</f>
        <v>46030</v>
      </c>
      <c r="J3" s="7">
        <f t="shared" ref="J3:L3" si="0">I3+7</f>
        <v>46037</v>
      </c>
      <c r="K3" s="7">
        <f t="shared" si="0"/>
        <v>46044</v>
      </c>
      <c r="L3" s="7">
        <f t="shared" si="0"/>
        <v>46051</v>
      </c>
      <c r="M3" s="9">
        <v>46023</v>
      </c>
      <c r="N3" s="9">
        <f>M3+7</f>
        <v>46030</v>
      </c>
      <c r="O3" s="9">
        <f t="shared" ref="O3:Q3" si="1">N3+7</f>
        <v>46037</v>
      </c>
      <c r="P3" s="9">
        <f t="shared" si="1"/>
        <v>46044</v>
      </c>
      <c r="Q3" s="9">
        <f t="shared" si="1"/>
        <v>46051</v>
      </c>
      <c r="R3" s="11">
        <v>46023</v>
      </c>
      <c r="S3" s="11">
        <f>R3+7</f>
        <v>46030</v>
      </c>
      <c r="T3" s="11">
        <f t="shared" ref="T3:V3" si="2">S3+7</f>
        <v>46037</v>
      </c>
      <c r="U3" s="11">
        <f t="shared" si="2"/>
        <v>46044</v>
      </c>
      <c r="V3" s="11">
        <f t="shared" si="2"/>
        <v>46051</v>
      </c>
      <c r="W3" s="13">
        <v>46023</v>
      </c>
      <c r="X3" s="13">
        <f>W3+7</f>
        <v>46030</v>
      </c>
      <c r="Y3" s="13">
        <f t="shared" ref="Y3:AA3" si="3">X3+7</f>
        <v>46037</v>
      </c>
      <c r="Z3" s="13">
        <f t="shared" si="3"/>
        <v>46044</v>
      </c>
      <c r="AA3" s="13">
        <f t="shared" si="3"/>
        <v>46051</v>
      </c>
      <c r="AB3" s="1"/>
    </row>
    <row r="4" spans="1:28" ht="12.6" customHeight="1" x14ac:dyDescent="0.3">
      <c r="A4" t="s">
        <v>3</v>
      </c>
      <c r="B4" s="2">
        <v>80</v>
      </c>
      <c r="C4" s="6">
        <v>33</v>
      </c>
      <c r="D4" s="6">
        <v>40</v>
      </c>
      <c r="E4" s="6">
        <v>41</v>
      </c>
      <c r="F4" s="6">
        <v>38</v>
      </c>
      <c r="G4" s="6">
        <v>45</v>
      </c>
      <c r="H4" s="8">
        <f>IF(C4&gt;40, C4-40,0)</f>
        <v>0</v>
      </c>
      <c r="I4" s="8">
        <f>IF(D4&gt;40, D4-40,0)</f>
        <v>0</v>
      </c>
      <c r="J4" s="8">
        <f>IF(E4&gt;40, E4-40,0)</f>
        <v>1</v>
      </c>
      <c r="K4" s="8">
        <f>IF(F4&gt;40, F4-40,0)</f>
        <v>0</v>
      </c>
      <c r="L4" s="8">
        <f>IF(G4&gt;40, G4-40,0)</f>
        <v>5</v>
      </c>
      <c r="M4" s="10">
        <f>$B4*C4</f>
        <v>2640</v>
      </c>
      <c r="N4" s="10">
        <f>$B4*D4</f>
        <v>3200</v>
      </c>
      <c r="O4" s="10">
        <f>$B4*E4</f>
        <v>3280</v>
      </c>
      <c r="P4" s="10">
        <f>$B4*F4</f>
        <v>3040</v>
      </c>
      <c r="Q4" s="10">
        <f>$B4*G4</f>
        <v>3600</v>
      </c>
      <c r="R4" s="12">
        <f>((0.5*$B4*H4))</f>
        <v>0</v>
      </c>
      <c r="S4" s="12">
        <f>((0.5*$B4*I4))</f>
        <v>0</v>
      </c>
      <c r="T4" s="12">
        <f>((0.5*$B4*J4))</f>
        <v>40</v>
      </c>
      <c r="U4" s="12">
        <f>((0.5*$B4*K4))</f>
        <v>0</v>
      </c>
      <c r="V4" s="12">
        <f>((0.5*$B4*L4))</f>
        <v>200</v>
      </c>
      <c r="W4" s="14">
        <f>M4+R4</f>
        <v>2640</v>
      </c>
      <c r="X4" s="14">
        <f>N4+S4</f>
        <v>3200</v>
      </c>
      <c r="Y4" s="14">
        <f>O4+T4</f>
        <v>3320</v>
      </c>
      <c r="Z4" s="14">
        <f>P4+U4</f>
        <v>3040</v>
      </c>
      <c r="AA4" s="14">
        <f>Q4+V4</f>
        <v>3800</v>
      </c>
      <c r="AB4" s="2">
        <f>SUM(W4:AA4)</f>
        <v>16000</v>
      </c>
    </row>
    <row r="5" spans="1:28" x14ac:dyDescent="0.3">
      <c r="A5" t="s">
        <v>4</v>
      </c>
      <c r="B5" s="2">
        <v>99</v>
      </c>
      <c r="C5" s="6">
        <v>42</v>
      </c>
      <c r="D5" s="6">
        <v>35</v>
      </c>
      <c r="E5" s="6">
        <v>44</v>
      </c>
      <c r="F5" s="6">
        <v>39</v>
      </c>
      <c r="G5" s="6">
        <v>48</v>
      </c>
      <c r="H5" s="8">
        <f t="shared" ref="H5:L23" si="4">IF(C5&gt;40, C5-40,0)</f>
        <v>2</v>
      </c>
      <c r="I5" s="8">
        <f t="shared" si="4"/>
        <v>0</v>
      </c>
      <c r="J5" s="8">
        <f t="shared" si="4"/>
        <v>4</v>
      </c>
      <c r="K5" s="8">
        <f t="shared" si="4"/>
        <v>0</v>
      </c>
      <c r="L5" s="8">
        <f t="shared" si="4"/>
        <v>8</v>
      </c>
      <c r="M5" s="10">
        <f t="shared" ref="M5:Q23" si="5">B5*C5</f>
        <v>4158</v>
      </c>
      <c r="N5" s="10">
        <f t="shared" si="5"/>
        <v>1470</v>
      </c>
      <c r="O5" s="10">
        <f t="shared" si="5"/>
        <v>1540</v>
      </c>
      <c r="P5" s="10">
        <f t="shared" si="5"/>
        <v>1716</v>
      </c>
      <c r="Q5" s="10">
        <f t="shared" si="5"/>
        <v>1872</v>
      </c>
      <c r="R5" s="12">
        <f t="shared" ref="R5:V23" si="6">((0.5*$B5*H5))</f>
        <v>99</v>
      </c>
      <c r="S5" s="12">
        <f t="shared" si="6"/>
        <v>0</v>
      </c>
      <c r="T5" s="12">
        <f t="shared" si="6"/>
        <v>198</v>
      </c>
      <c r="U5" s="12">
        <f t="shared" si="6"/>
        <v>0</v>
      </c>
      <c r="V5" s="12">
        <f t="shared" si="6"/>
        <v>396</v>
      </c>
      <c r="W5" s="14">
        <f t="shared" ref="W5:AA23" si="7">M5+R5</f>
        <v>4257</v>
      </c>
      <c r="X5" s="14">
        <f t="shared" si="7"/>
        <v>1470</v>
      </c>
      <c r="Y5" s="14">
        <f t="shared" si="7"/>
        <v>1738</v>
      </c>
      <c r="Z5" s="14">
        <f t="shared" si="7"/>
        <v>1716</v>
      </c>
      <c r="AA5" s="14">
        <f t="shared" si="7"/>
        <v>2268</v>
      </c>
      <c r="AB5" s="2">
        <f>SUM(W5:AA5)</f>
        <v>11449</v>
      </c>
    </row>
    <row r="6" spans="1:28" x14ac:dyDescent="0.3">
      <c r="A6" t="s">
        <v>5</v>
      </c>
      <c r="B6" s="2">
        <v>100</v>
      </c>
      <c r="C6" s="6">
        <v>37</v>
      </c>
      <c r="D6" s="6">
        <v>46</v>
      </c>
      <c r="E6" s="6">
        <v>40</v>
      </c>
      <c r="F6" s="6">
        <v>43</v>
      </c>
      <c r="G6" s="6">
        <v>34</v>
      </c>
      <c r="H6" s="8">
        <f t="shared" si="4"/>
        <v>0</v>
      </c>
      <c r="I6" s="8">
        <f t="shared" si="4"/>
        <v>6</v>
      </c>
      <c r="J6" s="8">
        <f t="shared" si="4"/>
        <v>0</v>
      </c>
      <c r="K6" s="8">
        <f t="shared" si="4"/>
        <v>3</v>
      </c>
      <c r="L6" s="8">
        <f t="shared" si="4"/>
        <v>0</v>
      </c>
      <c r="M6" s="10">
        <f t="shared" si="5"/>
        <v>3700</v>
      </c>
      <c r="N6" s="10">
        <f t="shared" si="5"/>
        <v>1702</v>
      </c>
      <c r="O6" s="10">
        <f t="shared" si="5"/>
        <v>1840</v>
      </c>
      <c r="P6" s="10">
        <f t="shared" si="5"/>
        <v>1720</v>
      </c>
      <c r="Q6" s="10">
        <f t="shared" si="5"/>
        <v>1462</v>
      </c>
      <c r="R6" s="12">
        <f t="shared" si="6"/>
        <v>0</v>
      </c>
      <c r="S6" s="12">
        <f t="shared" si="6"/>
        <v>300</v>
      </c>
      <c r="T6" s="12">
        <f t="shared" si="6"/>
        <v>0</v>
      </c>
      <c r="U6" s="12">
        <f t="shared" si="6"/>
        <v>150</v>
      </c>
      <c r="V6" s="12">
        <f t="shared" si="6"/>
        <v>0</v>
      </c>
      <c r="W6" s="14">
        <f t="shared" si="7"/>
        <v>3700</v>
      </c>
      <c r="X6" s="14">
        <f t="shared" si="7"/>
        <v>2002</v>
      </c>
      <c r="Y6" s="14">
        <f t="shared" si="7"/>
        <v>1840</v>
      </c>
      <c r="Z6" s="14">
        <f t="shared" si="7"/>
        <v>1870</v>
      </c>
      <c r="AA6" s="14">
        <f t="shared" si="7"/>
        <v>1462</v>
      </c>
      <c r="AB6" s="2">
        <f t="shared" ref="AB6:AB23" si="8">SUM(W6:AA6)</f>
        <v>10874</v>
      </c>
    </row>
    <row r="7" spans="1:28" x14ac:dyDescent="0.3">
      <c r="A7" t="s">
        <v>6</v>
      </c>
      <c r="B7" s="2">
        <v>50</v>
      </c>
      <c r="C7" s="6">
        <v>45</v>
      </c>
      <c r="D7" s="6">
        <v>39</v>
      </c>
      <c r="E7" s="6">
        <v>47</v>
      </c>
      <c r="F7" s="6">
        <v>41</v>
      </c>
      <c r="G7" s="6">
        <v>50</v>
      </c>
      <c r="H7" s="8">
        <f t="shared" si="4"/>
        <v>5</v>
      </c>
      <c r="I7" s="8">
        <f t="shared" si="4"/>
        <v>0</v>
      </c>
      <c r="J7" s="8">
        <f t="shared" si="4"/>
        <v>7</v>
      </c>
      <c r="K7" s="8">
        <f t="shared" si="4"/>
        <v>1</v>
      </c>
      <c r="L7" s="8">
        <f t="shared" si="4"/>
        <v>10</v>
      </c>
      <c r="M7" s="10">
        <f t="shared" si="5"/>
        <v>2250</v>
      </c>
      <c r="N7" s="10">
        <f t="shared" si="5"/>
        <v>1755</v>
      </c>
      <c r="O7" s="10">
        <f t="shared" si="5"/>
        <v>1833</v>
      </c>
      <c r="P7" s="10">
        <f t="shared" si="5"/>
        <v>1927</v>
      </c>
      <c r="Q7" s="10">
        <f t="shared" si="5"/>
        <v>2050</v>
      </c>
      <c r="R7" s="12">
        <f t="shared" si="6"/>
        <v>125</v>
      </c>
      <c r="S7" s="12">
        <f t="shared" si="6"/>
        <v>0</v>
      </c>
      <c r="T7" s="12">
        <f t="shared" si="6"/>
        <v>175</v>
      </c>
      <c r="U7" s="12">
        <f t="shared" si="6"/>
        <v>25</v>
      </c>
      <c r="V7" s="12">
        <f t="shared" si="6"/>
        <v>250</v>
      </c>
      <c r="W7" s="14">
        <f t="shared" si="7"/>
        <v>2375</v>
      </c>
      <c r="X7" s="14">
        <f t="shared" si="7"/>
        <v>1755</v>
      </c>
      <c r="Y7" s="14">
        <f t="shared" si="7"/>
        <v>2008</v>
      </c>
      <c r="Z7" s="14">
        <f t="shared" si="7"/>
        <v>1952</v>
      </c>
      <c r="AA7" s="14">
        <f t="shared" si="7"/>
        <v>2300</v>
      </c>
      <c r="AB7" s="2">
        <f t="shared" si="8"/>
        <v>10390</v>
      </c>
    </row>
    <row r="8" spans="1:28" x14ac:dyDescent="0.3">
      <c r="A8" t="s">
        <v>7</v>
      </c>
      <c r="B8" s="2">
        <v>90</v>
      </c>
      <c r="C8" s="6">
        <v>31</v>
      </c>
      <c r="D8" s="6">
        <v>42</v>
      </c>
      <c r="E8" s="6">
        <v>38</v>
      </c>
      <c r="F8" s="6">
        <v>46</v>
      </c>
      <c r="G8" s="6">
        <v>44</v>
      </c>
      <c r="H8" s="8">
        <f t="shared" si="4"/>
        <v>0</v>
      </c>
      <c r="I8" s="8">
        <f t="shared" si="4"/>
        <v>2</v>
      </c>
      <c r="J8" s="8">
        <f t="shared" si="4"/>
        <v>0</v>
      </c>
      <c r="K8" s="8">
        <f t="shared" si="4"/>
        <v>6</v>
      </c>
      <c r="L8" s="8">
        <f t="shared" si="4"/>
        <v>4</v>
      </c>
      <c r="M8" s="10">
        <f t="shared" si="5"/>
        <v>2790</v>
      </c>
      <c r="N8" s="10">
        <f t="shared" si="5"/>
        <v>1302</v>
      </c>
      <c r="O8" s="10">
        <f t="shared" si="5"/>
        <v>1596</v>
      </c>
      <c r="P8" s="10">
        <f t="shared" si="5"/>
        <v>1748</v>
      </c>
      <c r="Q8" s="10">
        <f t="shared" si="5"/>
        <v>2024</v>
      </c>
      <c r="R8" s="12">
        <f t="shared" si="6"/>
        <v>0</v>
      </c>
      <c r="S8" s="12">
        <f t="shared" si="6"/>
        <v>90</v>
      </c>
      <c r="T8" s="12">
        <f t="shared" si="6"/>
        <v>0</v>
      </c>
      <c r="U8" s="12">
        <f t="shared" si="6"/>
        <v>270</v>
      </c>
      <c r="V8" s="12">
        <f t="shared" si="6"/>
        <v>180</v>
      </c>
      <c r="W8" s="14">
        <f t="shared" si="7"/>
        <v>2790</v>
      </c>
      <c r="X8" s="14">
        <f t="shared" si="7"/>
        <v>1392</v>
      </c>
      <c r="Y8" s="14">
        <f t="shared" si="7"/>
        <v>1596</v>
      </c>
      <c r="Z8" s="14">
        <f t="shared" si="7"/>
        <v>2018</v>
      </c>
      <c r="AA8" s="14">
        <f t="shared" si="7"/>
        <v>2204</v>
      </c>
      <c r="AB8" s="2">
        <f t="shared" si="8"/>
        <v>10000</v>
      </c>
    </row>
    <row r="9" spans="1:28" x14ac:dyDescent="0.3">
      <c r="A9" t="s">
        <v>8</v>
      </c>
      <c r="B9" s="2">
        <v>110</v>
      </c>
      <c r="C9" s="6">
        <v>40</v>
      </c>
      <c r="D9" s="6">
        <v>48</v>
      </c>
      <c r="E9" s="6">
        <v>35</v>
      </c>
      <c r="F9" s="6">
        <v>41</v>
      </c>
      <c r="G9" s="6">
        <v>37</v>
      </c>
      <c r="H9" s="8">
        <f t="shared" si="4"/>
        <v>0</v>
      </c>
      <c r="I9" s="8">
        <f t="shared" si="4"/>
        <v>8</v>
      </c>
      <c r="J9" s="8">
        <f>IF(E9&gt;40, E9-40,0)</f>
        <v>0</v>
      </c>
      <c r="K9" s="8">
        <f t="shared" si="4"/>
        <v>1</v>
      </c>
      <c r="L9" s="8">
        <f t="shared" si="4"/>
        <v>0</v>
      </c>
      <c r="M9" s="10">
        <f t="shared" si="5"/>
        <v>4400</v>
      </c>
      <c r="N9" s="10">
        <f t="shared" si="5"/>
        <v>1920</v>
      </c>
      <c r="O9" s="10">
        <f t="shared" si="5"/>
        <v>1680</v>
      </c>
      <c r="P9" s="10">
        <f t="shared" si="5"/>
        <v>1435</v>
      </c>
      <c r="Q9" s="10">
        <f t="shared" si="5"/>
        <v>1517</v>
      </c>
      <c r="R9" s="12">
        <f t="shared" si="6"/>
        <v>0</v>
      </c>
      <c r="S9" s="12">
        <f t="shared" si="6"/>
        <v>440</v>
      </c>
      <c r="T9" s="12">
        <f t="shared" si="6"/>
        <v>0</v>
      </c>
      <c r="U9" s="12">
        <f t="shared" si="6"/>
        <v>55</v>
      </c>
      <c r="V9" s="12">
        <f t="shared" si="6"/>
        <v>0</v>
      </c>
      <c r="W9" s="14">
        <f t="shared" si="7"/>
        <v>4400</v>
      </c>
      <c r="X9" s="14">
        <f t="shared" si="7"/>
        <v>2360</v>
      </c>
      <c r="Y9" s="14">
        <f t="shared" si="7"/>
        <v>1680</v>
      </c>
      <c r="Z9" s="14">
        <f t="shared" si="7"/>
        <v>1490</v>
      </c>
      <c r="AA9" s="14">
        <f t="shared" si="7"/>
        <v>1517</v>
      </c>
      <c r="AB9" s="2">
        <f t="shared" si="8"/>
        <v>11447</v>
      </c>
    </row>
    <row r="10" spans="1:28" x14ac:dyDescent="0.3">
      <c r="A10" t="s">
        <v>9</v>
      </c>
      <c r="B10" s="2">
        <v>75</v>
      </c>
      <c r="C10" s="6">
        <v>49</v>
      </c>
      <c r="D10" s="6">
        <v>36</v>
      </c>
      <c r="E10" s="6">
        <v>43</v>
      </c>
      <c r="F10" s="6">
        <v>45</v>
      </c>
      <c r="G10" s="6">
        <v>40</v>
      </c>
      <c r="H10" s="8">
        <f t="shared" si="4"/>
        <v>9</v>
      </c>
      <c r="I10" s="8">
        <f t="shared" si="4"/>
        <v>0</v>
      </c>
      <c r="J10" s="8">
        <f t="shared" si="4"/>
        <v>3</v>
      </c>
      <c r="K10" s="8">
        <f t="shared" si="4"/>
        <v>5</v>
      </c>
      <c r="L10" s="8">
        <f t="shared" si="4"/>
        <v>0</v>
      </c>
      <c r="M10" s="10">
        <f t="shared" si="5"/>
        <v>3675</v>
      </c>
      <c r="N10" s="10">
        <f t="shared" si="5"/>
        <v>1764</v>
      </c>
      <c r="O10" s="10">
        <f t="shared" si="5"/>
        <v>1548</v>
      </c>
      <c r="P10" s="10">
        <f t="shared" si="5"/>
        <v>1935</v>
      </c>
      <c r="Q10" s="10">
        <f t="shared" si="5"/>
        <v>1800</v>
      </c>
      <c r="R10" s="12">
        <f t="shared" si="6"/>
        <v>337.5</v>
      </c>
      <c r="S10" s="12">
        <f t="shared" si="6"/>
        <v>0</v>
      </c>
      <c r="T10" s="12">
        <f t="shared" si="6"/>
        <v>112.5</v>
      </c>
      <c r="U10" s="12">
        <f t="shared" si="6"/>
        <v>187.5</v>
      </c>
      <c r="V10" s="12">
        <f t="shared" si="6"/>
        <v>0</v>
      </c>
      <c r="W10" s="14">
        <f t="shared" si="7"/>
        <v>4012.5</v>
      </c>
      <c r="X10" s="14">
        <f t="shared" si="7"/>
        <v>1764</v>
      </c>
      <c r="Y10" s="14">
        <f t="shared" si="7"/>
        <v>1660.5</v>
      </c>
      <c r="Z10" s="14">
        <f t="shared" si="7"/>
        <v>2122.5</v>
      </c>
      <c r="AA10" s="14">
        <f t="shared" si="7"/>
        <v>1800</v>
      </c>
      <c r="AB10" s="2">
        <f t="shared" si="8"/>
        <v>11359.5</v>
      </c>
    </row>
    <row r="11" spans="1:28" x14ac:dyDescent="0.3">
      <c r="A11" t="s">
        <v>10</v>
      </c>
      <c r="B11" s="2">
        <v>85</v>
      </c>
      <c r="C11" s="6">
        <v>34</v>
      </c>
      <c r="D11" s="6">
        <v>41</v>
      </c>
      <c r="E11" s="6">
        <v>39</v>
      </c>
      <c r="F11" s="6">
        <v>47</v>
      </c>
      <c r="G11" s="6">
        <v>32</v>
      </c>
      <c r="H11" s="8">
        <f t="shared" si="4"/>
        <v>0</v>
      </c>
      <c r="I11" s="8">
        <f t="shared" si="4"/>
        <v>1</v>
      </c>
      <c r="J11" s="8">
        <f t="shared" si="4"/>
        <v>0</v>
      </c>
      <c r="K11" s="8">
        <f t="shared" si="4"/>
        <v>7</v>
      </c>
      <c r="L11" s="8">
        <f t="shared" si="4"/>
        <v>0</v>
      </c>
      <c r="M11" s="10">
        <f t="shared" si="5"/>
        <v>2890</v>
      </c>
      <c r="N11" s="10">
        <f t="shared" si="5"/>
        <v>1394</v>
      </c>
      <c r="O11" s="10">
        <f t="shared" si="5"/>
        <v>1599</v>
      </c>
      <c r="P11" s="10">
        <f t="shared" si="5"/>
        <v>1833</v>
      </c>
      <c r="Q11" s="10">
        <f t="shared" si="5"/>
        <v>1504</v>
      </c>
      <c r="R11" s="12">
        <f t="shared" si="6"/>
        <v>0</v>
      </c>
      <c r="S11" s="12">
        <f t="shared" si="6"/>
        <v>42.5</v>
      </c>
      <c r="T11" s="12">
        <f t="shared" si="6"/>
        <v>0</v>
      </c>
      <c r="U11" s="12">
        <f t="shared" si="6"/>
        <v>297.5</v>
      </c>
      <c r="V11" s="12">
        <f t="shared" si="6"/>
        <v>0</v>
      </c>
      <c r="W11" s="14">
        <f t="shared" si="7"/>
        <v>2890</v>
      </c>
      <c r="X11" s="14">
        <f t="shared" si="7"/>
        <v>1436.5</v>
      </c>
      <c r="Y11" s="14">
        <f t="shared" si="7"/>
        <v>1599</v>
      </c>
      <c r="Z11" s="14">
        <f t="shared" si="7"/>
        <v>2130.5</v>
      </c>
      <c r="AA11" s="14">
        <f t="shared" si="7"/>
        <v>1504</v>
      </c>
      <c r="AB11" s="2">
        <f t="shared" si="8"/>
        <v>9560</v>
      </c>
    </row>
    <row r="12" spans="1:28" x14ac:dyDescent="0.3">
      <c r="A12" t="s">
        <v>11</v>
      </c>
      <c r="B12" s="2">
        <v>120</v>
      </c>
      <c r="C12" s="6">
        <v>46</v>
      </c>
      <c r="D12" s="6">
        <v>44</v>
      </c>
      <c r="E12" s="6">
        <v>50</v>
      </c>
      <c r="F12" s="6">
        <v>36</v>
      </c>
      <c r="G12" s="6">
        <v>42</v>
      </c>
      <c r="H12" s="8">
        <f t="shared" si="4"/>
        <v>6</v>
      </c>
      <c r="I12" s="8">
        <f t="shared" si="4"/>
        <v>4</v>
      </c>
      <c r="J12" s="8">
        <f t="shared" si="4"/>
        <v>10</v>
      </c>
      <c r="K12" s="8">
        <f t="shared" si="4"/>
        <v>0</v>
      </c>
      <c r="L12" s="8">
        <f t="shared" si="4"/>
        <v>2</v>
      </c>
      <c r="M12" s="10">
        <f t="shared" si="5"/>
        <v>5520</v>
      </c>
      <c r="N12" s="10">
        <f t="shared" si="5"/>
        <v>2024</v>
      </c>
      <c r="O12" s="10">
        <f t="shared" si="5"/>
        <v>2200</v>
      </c>
      <c r="P12" s="10">
        <f t="shared" si="5"/>
        <v>1800</v>
      </c>
      <c r="Q12" s="10">
        <f t="shared" si="5"/>
        <v>1512</v>
      </c>
      <c r="R12" s="12">
        <f t="shared" si="6"/>
        <v>360</v>
      </c>
      <c r="S12" s="12">
        <f t="shared" si="6"/>
        <v>240</v>
      </c>
      <c r="T12" s="12">
        <f t="shared" si="6"/>
        <v>600</v>
      </c>
      <c r="U12" s="12">
        <f t="shared" si="6"/>
        <v>0</v>
      </c>
      <c r="V12" s="12">
        <f t="shared" si="6"/>
        <v>120</v>
      </c>
      <c r="W12" s="14">
        <f t="shared" si="7"/>
        <v>5880</v>
      </c>
      <c r="X12" s="14">
        <f t="shared" si="7"/>
        <v>2264</v>
      </c>
      <c r="Y12" s="14">
        <f t="shared" si="7"/>
        <v>2800</v>
      </c>
      <c r="Z12" s="14">
        <f t="shared" si="7"/>
        <v>1800</v>
      </c>
      <c r="AA12" s="14">
        <f t="shared" si="7"/>
        <v>1632</v>
      </c>
      <c r="AB12" s="2">
        <f t="shared" si="8"/>
        <v>14376</v>
      </c>
    </row>
    <row r="13" spans="1:28" x14ac:dyDescent="0.3">
      <c r="A13" t="s">
        <v>12</v>
      </c>
      <c r="B13" s="2">
        <v>90</v>
      </c>
      <c r="C13" s="6">
        <v>38</v>
      </c>
      <c r="D13" s="6">
        <v>33</v>
      </c>
      <c r="E13" s="6">
        <v>45</v>
      </c>
      <c r="F13" s="6">
        <v>40</v>
      </c>
      <c r="G13" s="6">
        <v>48</v>
      </c>
      <c r="H13" s="8">
        <f t="shared" si="4"/>
        <v>0</v>
      </c>
      <c r="I13" s="8">
        <f t="shared" si="4"/>
        <v>0</v>
      </c>
      <c r="J13" s="8">
        <f t="shared" si="4"/>
        <v>5</v>
      </c>
      <c r="K13" s="8">
        <f t="shared" si="4"/>
        <v>0</v>
      </c>
      <c r="L13" s="8">
        <f t="shared" si="4"/>
        <v>8</v>
      </c>
      <c r="M13" s="10">
        <f t="shared" si="5"/>
        <v>3420</v>
      </c>
      <c r="N13" s="10">
        <f t="shared" si="5"/>
        <v>1254</v>
      </c>
      <c r="O13" s="10">
        <f t="shared" si="5"/>
        <v>1485</v>
      </c>
      <c r="P13" s="10">
        <f t="shared" si="5"/>
        <v>1800</v>
      </c>
      <c r="Q13" s="10">
        <f t="shared" si="5"/>
        <v>1920</v>
      </c>
      <c r="R13" s="12">
        <f t="shared" si="6"/>
        <v>0</v>
      </c>
      <c r="S13" s="12">
        <f t="shared" si="6"/>
        <v>0</v>
      </c>
      <c r="T13" s="12">
        <f t="shared" si="6"/>
        <v>225</v>
      </c>
      <c r="U13" s="12">
        <f t="shared" si="6"/>
        <v>0</v>
      </c>
      <c r="V13" s="12">
        <f t="shared" si="6"/>
        <v>360</v>
      </c>
      <c r="W13" s="14">
        <f t="shared" si="7"/>
        <v>3420</v>
      </c>
      <c r="X13" s="14">
        <f t="shared" si="7"/>
        <v>1254</v>
      </c>
      <c r="Y13" s="14">
        <f t="shared" si="7"/>
        <v>1710</v>
      </c>
      <c r="Z13" s="14">
        <f t="shared" si="7"/>
        <v>1800</v>
      </c>
      <c r="AA13" s="14">
        <f t="shared" si="7"/>
        <v>2280</v>
      </c>
      <c r="AB13" s="2">
        <f t="shared" si="8"/>
        <v>10464</v>
      </c>
    </row>
    <row r="14" spans="1:28" x14ac:dyDescent="0.3">
      <c r="A14" t="s">
        <v>13</v>
      </c>
      <c r="B14" s="2">
        <v>95</v>
      </c>
      <c r="C14" s="6">
        <v>41</v>
      </c>
      <c r="D14" s="6">
        <v>47</v>
      </c>
      <c r="E14" s="6">
        <v>34</v>
      </c>
      <c r="F14" s="6">
        <v>44</v>
      </c>
      <c r="G14" s="6">
        <v>39</v>
      </c>
      <c r="H14" s="8">
        <f t="shared" si="4"/>
        <v>1</v>
      </c>
      <c r="I14" s="8">
        <f t="shared" si="4"/>
        <v>7</v>
      </c>
      <c r="J14" s="8">
        <f t="shared" si="4"/>
        <v>0</v>
      </c>
      <c r="K14" s="8">
        <f t="shared" si="4"/>
        <v>4</v>
      </c>
      <c r="L14" s="8">
        <f t="shared" si="4"/>
        <v>0</v>
      </c>
      <c r="M14" s="10">
        <f t="shared" si="5"/>
        <v>3895</v>
      </c>
      <c r="N14" s="10">
        <f t="shared" si="5"/>
        <v>1927</v>
      </c>
      <c r="O14" s="10">
        <f t="shared" si="5"/>
        <v>1598</v>
      </c>
      <c r="P14" s="10">
        <f t="shared" si="5"/>
        <v>1496</v>
      </c>
      <c r="Q14" s="10">
        <f t="shared" si="5"/>
        <v>1716</v>
      </c>
      <c r="R14" s="12">
        <f t="shared" si="6"/>
        <v>47.5</v>
      </c>
      <c r="S14" s="12">
        <f t="shared" si="6"/>
        <v>332.5</v>
      </c>
      <c r="T14" s="12">
        <f t="shared" si="6"/>
        <v>0</v>
      </c>
      <c r="U14" s="12">
        <f t="shared" si="6"/>
        <v>190</v>
      </c>
      <c r="V14" s="12">
        <f t="shared" si="6"/>
        <v>0</v>
      </c>
      <c r="W14" s="14">
        <f t="shared" si="7"/>
        <v>3942.5</v>
      </c>
      <c r="X14" s="14">
        <f t="shared" si="7"/>
        <v>2259.5</v>
      </c>
      <c r="Y14" s="14">
        <f t="shared" si="7"/>
        <v>1598</v>
      </c>
      <c r="Z14" s="14">
        <f t="shared" si="7"/>
        <v>1686</v>
      </c>
      <c r="AA14" s="14">
        <f t="shared" si="7"/>
        <v>1716</v>
      </c>
      <c r="AB14" s="2">
        <f t="shared" si="8"/>
        <v>11202</v>
      </c>
    </row>
    <row r="15" spans="1:28" x14ac:dyDescent="0.3">
      <c r="A15" t="s">
        <v>14</v>
      </c>
      <c r="B15" s="2">
        <v>100</v>
      </c>
      <c r="C15" s="6">
        <v>35</v>
      </c>
      <c r="D15" s="6">
        <v>40</v>
      </c>
      <c r="E15" s="6">
        <v>42</v>
      </c>
      <c r="F15" s="6">
        <v>49</v>
      </c>
      <c r="G15" s="6">
        <v>45</v>
      </c>
      <c r="H15" s="8">
        <f t="shared" si="4"/>
        <v>0</v>
      </c>
      <c r="I15" s="8">
        <f t="shared" si="4"/>
        <v>0</v>
      </c>
      <c r="J15" s="8">
        <f t="shared" si="4"/>
        <v>2</v>
      </c>
      <c r="K15" s="8">
        <f t="shared" si="4"/>
        <v>9</v>
      </c>
      <c r="L15" s="8">
        <f t="shared" si="4"/>
        <v>5</v>
      </c>
      <c r="M15" s="10">
        <f t="shared" si="5"/>
        <v>3500</v>
      </c>
      <c r="N15" s="10">
        <f t="shared" si="5"/>
        <v>1400</v>
      </c>
      <c r="O15" s="10">
        <f t="shared" si="5"/>
        <v>1680</v>
      </c>
      <c r="P15" s="10">
        <f t="shared" si="5"/>
        <v>2058</v>
      </c>
      <c r="Q15" s="10">
        <f t="shared" si="5"/>
        <v>2205</v>
      </c>
      <c r="R15" s="12">
        <f t="shared" si="6"/>
        <v>0</v>
      </c>
      <c r="S15" s="12">
        <f t="shared" si="6"/>
        <v>0</v>
      </c>
      <c r="T15" s="12">
        <f t="shared" si="6"/>
        <v>100</v>
      </c>
      <c r="U15" s="12">
        <f t="shared" si="6"/>
        <v>450</v>
      </c>
      <c r="V15" s="12">
        <f t="shared" si="6"/>
        <v>250</v>
      </c>
      <c r="W15" s="14">
        <f t="shared" si="7"/>
        <v>3500</v>
      </c>
      <c r="X15" s="14">
        <f t="shared" si="7"/>
        <v>1400</v>
      </c>
      <c r="Y15" s="14">
        <f t="shared" si="7"/>
        <v>1780</v>
      </c>
      <c r="Z15" s="14">
        <f t="shared" si="7"/>
        <v>2508</v>
      </c>
      <c r="AA15" s="14">
        <f t="shared" si="7"/>
        <v>2455</v>
      </c>
      <c r="AB15" s="2">
        <f t="shared" si="8"/>
        <v>11643</v>
      </c>
    </row>
    <row r="16" spans="1:28" x14ac:dyDescent="0.3">
      <c r="A16" t="s">
        <v>15</v>
      </c>
      <c r="B16" s="2">
        <v>115</v>
      </c>
      <c r="C16" s="6">
        <v>48</v>
      </c>
      <c r="D16" s="6">
        <v>37</v>
      </c>
      <c r="E16" s="6">
        <v>46</v>
      </c>
      <c r="F16" s="6">
        <v>41</v>
      </c>
      <c r="G16" s="6">
        <v>33</v>
      </c>
      <c r="H16" s="8">
        <f t="shared" si="4"/>
        <v>8</v>
      </c>
      <c r="I16" s="8">
        <f t="shared" si="4"/>
        <v>0</v>
      </c>
      <c r="J16" s="8">
        <f t="shared" si="4"/>
        <v>6</v>
      </c>
      <c r="K16" s="8">
        <f t="shared" si="4"/>
        <v>1</v>
      </c>
      <c r="L16" s="8">
        <f t="shared" si="4"/>
        <v>0</v>
      </c>
      <c r="M16" s="10">
        <f t="shared" si="5"/>
        <v>5520</v>
      </c>
      <c r="N16" s="10">
        <f t="shared" si="5"/>
        <v>1776</v>
      </c>
      <c r="O16" s="10">
        <f t="shared" si="5"/>
        <v>1702</v>
      </c>
      <c r="P16" s="10">
        <f t="shared" si="5"/>
        <v>1886</v>
      </c>
      <c r="Q16" s="10">
        <f t="shared" si="5"/>
        <v>1353</v>
      </c>
      <c r="R16" s="12">
        <f t="shared" si="6"/>
        <v>460</v>
      </c>
      <c r="S16" s="12">
        <f t="shared" si="6"/>
        <v>0</v>
      </c>
      <c r="T16" s="12">
        <f t="shared" si="6"/>
        <v>345</v>
      </c>
      <c r="U16" s="12">
        <f t="shared" si="6"/>
        <v>57.5</v>
      </c>
      <c r="V16" s="12">
        <f t="shared" si="6"/>
        <v>0</v>
      </c>
      <c r="W16" s="14">
        <f t="shared" si="7"/>
        <v>5980</v>
      </c>
      <c r="X16" s="14">
        <f t="shared" si="7"/>
        <v>1776</v>
      </c>
      <c r="Y16" s="14">
        <f t="shared" si="7"/>
        <v>2047</v>
      </c>
      <c r="Z16" s="14">
        <f t="shared" si="7"/>
        <v>1943.5</v>
      </c>
      <c r="AA16" s="14">
        <f t="shared" si="7"/>
        <v>1353</v>
      </c>
      <c r="AB16" s="2">
        <f t="shared" si="8"/>
        <v>13099.5</v>
      </c>
    </row>
    <row r="17" spans="1:28" x14ac:dyDescent="0.3">
      <c r="A17" t="s">
        <v>16</v>
      </c>
      <c r="B17" s="2">
        <v>105</v>
      </c>
      <c r="C17" s="6">
        <v>39</v>
      </c>
      <c r="D17" s="6">
        <v>45</v>
      </c>
      <c r="E17" s="6">
        <v>40</v>
      </c>
      <c r="F17" s="6">
        <v>35</v>
      </c>
      <c r="G17" s="6">
        <v>47</v>
      </c>
      <c r="H17" s="8">
        <f t="shared" si="4"/>
        <v>0</v>
      </c>
      <c r="I17" s="8">
        <f t="shared" si="4"/>
        <v>5</v>
      </c>
      <c r="J17" s="8">
        <f t="shared" si="4"/>
        <v>0</v>
      </c>
      <c r="K17" s="8">
        <f t="shared" si="4"/>
        <v>0</v>
      </c>
      <c r="L17" s="8">
        <f t="shared" si="4"/>
        <v>7</v>
      </c>
      <c r="M17" s="10">
        <f t="shared" si="5"/>
        <v>4095</v>
      </c>
      <c r="N17" s="10">
        <f t="shared" si="5"/>
        <v>1755</v>
      </c>
      <c r="O17" s="10">
        <f t="shared" si="5"/>
        <v>1800</v>
      </c>
      <c r="P17" s="10">
        <f t="shared" si="5"/>
        <v>1400</v>
      </c>
      <c r="Q17" s="10">
        <f t="shared" si="5"/>
        <v>1645</v>
      </c>
      <c r="R17" s="12">
        <f t="shared" si="6"/>
        <v>0</v>
      </c>
      <c r="S17" s="12">
        <f t="shared" si="6"/>
        <v>262.5</v>
      </c>
      <c r="T17" s="12">
        <f t="shared" si="6"/>
        <v>0</v>
      </c>
      <c r="U17" s="12">
        <f t="shared" si="6"/>
        <v>0</v>
      </c>
      <c r="V17" s="12">
        <f t="shared" si="6"/>
        <v>367.5</v>
      </c>
      <c r="W17" s="14">
        <f t="shared" si="7"/>
        <v>4095</v>
      </c>
      <c r="X17" s="14">
        <f t="shared" si="7"/>
        <v>2017.5</v>
      </c>
      <c r="Y17" s="14">
        <f t="shared" si="7"/>
        <v>1800</v>
      </c>
      <c r="Z17" s="14">
        <f t="shared" si="7"/>
        <v>1400</v>
      </c>
      <c r="AA17" s="14">
        <f t="shared" si="7"/>
        <v>2012.5</v>
      </c>
      <c r="AB17" s="2">
        <f t="shared" si="8"/>
        <v>11325</v>
      </c>
    </row>
    <row r="18" spans="1:28" x14ac:dyDescent="0.3">
      <c r="A18" t="s">
        <v>17</v>
      </c>
      <c r="B18" s="2">
        <v>125</v>
      </c>
      <c r="C18" s="6">
        <v>44</v>
      </c>
      <c r="D18" s="6">
        <v>32</v>
      </c>
      <c r="E18" s="6">
        <v>48</v>
      </c>
      <c r="F18" s="6">
        <v>43</v>
      </c>
      <c r="G18" s="6">
        <v>39</v>
      </c>
      <c r="H18" s="8">
        <f t="shared" si="4"/>
        <v>4</v>
      </c>
      <c r="I18" s="8">
        <f t="shared" si="4"/>
        <v>0</v>
      </c>
      <c r="J18" s="8">
        <f t="shared" si="4"/>
        <v>8</v>
      </c>
      <c r="K18" s="8">
        <f t="shared" si="4"/>
        <v>3</v>
      </c>
      <c r="L18" s="8">
        <f t="shared" si="4"/>
        <v>0</v>
      </c>
      <c r="M18" s="10">
        <f t="shared" si="5"/>
        <v>5500</v>
      </c>
      <c r="N18" s="10">
        <f t="shared" si="5"/>
        <v>1408</v>
      </c>
      <c r="O18" s="10">
        <f t="shared" si="5"/>
        <v>1536</v>
      </c>
      <c r="P18" s="10">
        <f t="shared" si="5"/>
        <v>2064</v>
      </c>
      <c r="Q18" s="10">
        <f t="shared" si="5"/>
        <v>1677</v>
      </c>
      <c r="R18" s="12">
        <f t="shared" si="6"/>
        <v>250</v>
      </c>
      <c r="S18" s="12">
        <f t="shared" si="6"/>
        <v>0</v>
      </c>
      <c r="T18" s="12">
        <f t="shared" si="6"/>
        <v>500</v>
      </c>
      <c r="U18" s="12">
        <f t="shared" si="6"/>
        <v>187.5</v>
      </c>
      <c r="V18" s="12">
        <f t="shared" si="6"/>
        <v>0</v>
      </c>
      <c r="W18" s="14">
        <f t="shared" si="7"/>
        <v>5750</v>
      </c>
      <c r="X18" s="14">
        <f t="shared" si="7"/>
        <v>1408</v>
      </c>
      <c r="Y18" s="14">
        <f t="shared" si="7"/>
        <v>2036</v>
      </c>
      <c r="Z18" s="14">
        <f t="shared" si="7"/>
        <v>2251.5</v>
      </c>
      <c r="AA18" s="14">
        <f t="shared" si="7"/>
        <v>1677</v>
      </c>
      <c r="AB18" s="2">
        <f t="shared" si="8"/>
        <v>13122.5</v>
      </c>
    </row>
    <row r="19" spans="1:28" x14ac:dyDescent="0.3">
      <c r="A19" t="s">
        <v>18</v>
      </c>
      <c r="B19" s="2">
        <v>95</v>
      </c>
      <c r="C19" s="6">
        <v>30</v>
      </c>
      <c r="D19" s="6">
        <v>41</v>
      </c>
      <c r="E19" s="6">
        <v>36</v>
      </c>
      <c r="F19" s="6">
        <v>45</v>
      </c>
      <c r="G19" s="6">
        <v>42</v>
      </c>
      <c r="H19" s="8">
        <f t="shared" si="4"/>
        <v>0</v>
      </c>
      <c r="I19" s="8">
        <f t="shared" si="4"/>
        <v>1</v>
      </c>
      <c r="J19" s="8">
        <f t="shared" si="4"/>
        <v>0</v>
      </c>
      <c r="K19" s="8">
        <f t="shared" si="4"/>
        <v>5</v>
      </c>
      <c r="L19" s="8">
        <f t="shared" si="4"/>
        <v>2</v>
      </c>
      <c r="M19" s="10">
        <f t="shared" si="5"/>
        <v>2850</v>
      </c>
      <c r="N19" s="10">
        <f t="shared" si="5"/>
        <v>1230</v>
      </c>
      <c r="O19" s="10">
        <f t="shared" si="5"/>
        <v>1476</v>
      </c>
      <c r="P19" s="10">
        <f t="shared" si="5"/>
        <v>1620</v>
      </c>
      <c r="Q19" s="10">
        <f t="shared" si="5"/>
        <v>1890</v>
      </c>
      <c r="R19" s="12">
        <f t="shared" si="6"/>
        <v>0</v>
      </c>
      <c r="S19" s="12">
        <f t="shared" si="6"/>
        <v>47.5</v>
      </c>
      <c r="T19" s="12">
        <f t="shared" si="6"/>
        <v>0</v>
      </c>
      <c r="U19" s="12">
        <f t="shared" si="6"/>
        <v>237.5</v>
      </c>
      <c r="V19" s="12">
        <f t="shared" si="6"/>
        <v>95</v>
      </c>
      <c r="W19" s="14">
        <f t="shared" si="7"/>
        <v>2850</v>
      </c>
      <c r="X19" s="14">
        <f t="shared" si="7"/>
        <v>1277.5</v>
      </c>
      <c r="Y19" s="14">
        <f t="shared" si="7"/>
        <v>1476</v>
      </c>
      <c r="Z19" s="14">
        <f t="shared" si="7"/>
        <v>1857.5</v>
      </c>
      <c r="AA19" s="14">
        <f t="shared" si="7"/>
        <v>1985</v>
      </c>
      <c r="AB19" s="2">
        <f t="shared" si="8"/>
        <v>9446</v>
      </c>
    </row>
    <row r="20" spans="1:28" x14ac:dyDescent="0.3">
      <c r="A20" t="s">
        <v>19</v>
      </c>
      <c r="B20" s="2">
        <v>90</v>
      </c>
      <c r="C20" s="6">
        <v>43</v>
      </c>
      <c r="D20" s="6">
        <v>49</v>
      </c>
      <c r="E20" s="6">
        <v>38</v>
      </c>
      <c r="F20" s="6">
        <v>40</v>
      </c>
      <c r="G20" s="6">
        <v>46</v>
      </c>
      <c r="H20" s="8">
        <f t="shared" si="4"/>
        <v>3</v>
      </c>
      <c r="I20" s="8">
        <f t="shared" si="4"/>
        <v>9</v>
      </c>
      <c r="J20" s="8">
        <f t="shared" si="4"/>
        <v>0</v>
      </c>
      <c r="K20" s="8">
        <f t="shared" si="4"/>
        <v>0</v>
      </c>
      <c r="L20" s="8">
        <f t="shared" si="4"/>
        <v>6</v>
      </c>
      <c r="M20" s="10">
        <f t="shared" si="5"/>
        <v>3870</v>
      </c>
      <c r="N20" s="10">
        <f t="shared" si="5"/>
        <v>2107</v>
      </c>
      <c r="O20" s="10">
        <f t="shared" si="5"/>
        <v>1862</v>
      </c>
      <c r="P20" s="10">
        <f t="shared" si="5"/>
        <v>1520</v>
      </c>
      <c r="Q20" s="10">
        <f t="shared" si="5"/>
        <v>1840</v>
      </c>
      <c r="R20" s="12">
        <f t="shared" si="6"/>
        <v>135</v>
      </c>
      <c r="S20" s="12">
        <f t="shared" si="6"/>
        <v>405</v>
      </c>
      <c r="T20" s="12">
        <f t="shared" si="6"/>
        <v>0</v>
      </c>
      <c r="U20" s="12">
        <f t="shared" si="6"/>
        <v>0</v>
      </c>
      <c r="V20" s="12">
        <f t="shared" si="6"/>
        <v>270</v>
      </c>
      <c r="W20" s="14">
        <f t="shared" si="7"/>
        <v>4005</v>
      </c>
      <c r="X20" s="14">
        <f t="shared" si="7"/>
        <v>2512</v>
      </c>
      <c r="Y20" s="14">
        <f t="shared" si="7"/>
        <v>1862</v>
      </c>
      <c r="Z20" s="14">
        <f t="shared" si="7"/>
        <v>1520</v>
      </c>
      <c r="AA20" s="14">
        <f t="shared" si="7"/>
        <v>2110</v>
      </c>
      <c r="AB20" s="2">
        <f t="shared" si="8"/>
        <v>12009</v>
      </c>
    </row>
    <row r="21" spans="1:28" x14ac:dyDescent="0.3">
      <c r="A21" t="s">
        <v>20</v>
      </c>
      <c r="B21" s="2">
        <v>100</v>
      </c>
      <c r="C21" s="6">
        <v>36</v>
      </c>
      <c r="D21" s="6">
        <v>34</v>
      </c>
      <c r="E21" s="6">
        <v>44</v>
      </c>
      <c r="F21" s="6">
        <v>48</v>
      </c>
      <c r="G21" s="6">
        <v>41</v>
      </c>
      <c r="H21" s="8">
        <f t="shared" si="4"/>
        <v>0</v>
      </c>
      <c r="I21" s="8">
        <f t="shared" si="4"/>
        <v>0</v>
      </c>
      <c r="J21" s="8">
        <f t="shared" si="4"/>
        <v>4</v>
      </c>
      <c r="K21" s="8">
        <f t="shared" si="4"/>
        <v>8</v>
      </c>
      <c r="L21" s="8">
        <f t="shared" si="4"/>
        <v>1</v>
      </c>
      <c r="M21" s="10">
        <f t="shared" si="5"/>
        <v>3600</v>
      </c>
      <c r="N21" s="10">
        <f t="shared" si="5"/>
        <v>1224</v>
      </c>
      <c r="O21" s="10">
        <f t="shared" si="5"/>
        <v>1496</v>
      </c>
      <c r="P21" s="10">
        <f t="shared" si="5"/>
        <v>2112</v>
      </c>
      <c r="Q21" s="10">
        <f t="shared" si="5"/>
        <v>1968</v>
      </c>
      <c r="R21" s="12">
        <f t="shared" si="6"/>
        <v>0</v>
      </c>
      <c r="S21" s="12">
        <f t="shared" si="6"/>
        <v>0</v>
      </c>
      <c r="T21" s="12">
        <f t="shared" si="6"/>
        <v>200</v>
      </c>
      <c r="U21" s="12">
        <f t="shared" si="6"/>
        <v>400</v>
      </c>
      <c r="V21" s="12">
        <f t="shared" si="6"/>
        <v>50</v>
      </c>
      <c r="W21" s="14">
        <f t="shared" si="7"/>
        <v>3600</v>
      </c>
      <c r="X21" s="14">
        <f t="shared" si="7"/>
        <v>1224</v>
      </c>
      <c r="Y21" s="14">
        <f t="shared" si="7"/>
        <v>1696</v>
      </c>
      <c r="Z21" s="14">
        <f t="shared" si="7"/>
        <v>2512</v>
      </c>
      <c r="AA21" s="14">
        <f t="shared" si="7"/>
        <v>2018</v>
      </c>
      <c r="AB21" s="2">
        <f t="shared" si="8"/>
        <v>11050</v>
      </c>
    </row>
    <row r="22" spans="1:28" x14ac:dyDescent="0.3">
      <c r="A22" t="s">
        <v>21</v>
      </c>
      <c r="B22" s="2">
        <v>180</v>
      </c>
      <c r="C22" s="6">
        <v>47</v>
      </c>
      <c r="D22" s="6">
        <v>42</v>
      </c>
      <c r="E22" s="6">
        <v>39</v>
      </c>
      <c r="F22" s="6">
        <v>50</v>
      </c>
      <c r="G22" s="6">
        <v>35</v>
      </c>
      <c r="H22" s="8">
        <f t="shared" si="4"/>
        <v>7</v>
      </c>
      <c r="I22" s="8">
        <f t="shared" si="4"/>
        <v>2</v>
      </c>
      <c r="J22" s="8">
        <f t="shared" si="4"/>
        <v>0</v>
      </c>
      <c r="K22" s="8">
        <f t="shared" si="4"/>
        <v>10</v>
      </c>
      <c r="L22" s="8">
        <f t="shared" si="4"/>
        <v>0</v>
      </c>
      <c r="M22" s="10">
        <f t="shared" si="5"/>
        <v>8460</v>
      </c>
      <c r="N22" s="10">
        <f t="shared" si="5"/>
        <v>1974</v>
      </c>
      <c r="O22" s="10">
        <f t="shared" si="5"/>
        <v>1638</v>
      </c>
      <c r="P22" s="10">
        <f t="shared" si="5"/>
        <v>1950</v>
      </c>
      <c r="Q22" s="10">
        <f t="shared" si="5"/>
        <v>1750</v>
      </c>
      <c r="R22" s="12">
        <f t="shared" si="6"/>
        <v>630</v>
      </c>
      <c r="S22" s="12">
        <f t="shared" si="6"/>
        <v>180</v>
      </c>
      <c r="T22" s="12">
        <f t="shared" si="6"/>
        <v>0</v>
      </c>
      <c r="U22" s="12">
        <f t="shared" si="6"/>
        <v>900</v>
      </c>
      <c r="V22" s="12">
        <f t="shared" si="6"/>
        <v>0</v>
      </c>
      <c r="W22" s="14">
        <f t="shared" si="7"/>
        <v>9090</v>
      </c>
      <c r="X22" s="14">
        <f t="shared" si="7"/>
        <v>2154</v>
      </c>
      <c r="Y22" s="14">
        <f t="shared" si="7"/>
        <v>1638</v>
      </c>
      <c r="Z22" s="14">
        <f t="shared" si="7"/>
        <v>2850</v>
      </c>
      <c r="AA22" s="14">
        <f t="shared" si="7"/>
        <v>1750</v>
      </c>
      <c r="AB22" s="2">
        <f t="shared" si="8"/>
        <v>17482</v>
      </c>
    </row>
    <row r="23" spans="1:28" x14ac:dyDescent="0.3">
      <c r="A23" t="s">
        <v>22</v>
      </c>
      <c r="B23" s="2">
        <v>100</v>
      </c>
      <c r="C23" s="6">
        <v>40</v>
      </c>
      <c r="D23" s="6">
        <v>46</v>
      </c>
      <c r="E23" s="6">
        <v>43</v>
      </c>
      <c r="F23" s="6">
        <v>37</v>
      </c>
      <c r="G23" s="6">
        <v>49</v>
      </c>
      <c r="H23" s="8">
        <f t="shared" si="4"/>
        <v>0</v>
      </c>
      <c r="I23" s="8">
        <f t="shared" si="4"/>
        <v>6</v>
      </c>
      <c r="J23" s="8">
        <f t="shared" si="4"/>
        <v>3</v>
      </c>
      <c r="K23" s="8">
        <f t="shared" si="4"/>
        <v>0</v>
      </c>
      <c r="L23" s="8">
        <f t="shared" si="4"/>
        <v>9</v>
      </c>
      <c r="M23" s="10">
        <f t="shared" si="5"/>
        <v>4000</v>
      </c>
      <c r="N23" s="10">
        <f t="shared" si="5"/>
        <v>1840</v>
      </c>
      <c r="O23" s="10">
        <f t="shared" si="5"/>
        <v>1978</v>
      </c>
      <c r="P23" s="10">
        <f t="shared" si="5"/>
        <v>1591</v>
      </c>
      <c r="Q23" s="10">
        <f t="shared" si="5"/>
        <v>1813</v>
      </c>
      <c r="R23" s="12">
        <f t="shared" si="6"/>
        <v>0</v>
      </c>
      <c r="S23" s="12">
        <f t="shared" si="6"/>
        <v>300</v>
      </c>
      <c r="T23" s="12">
        <f t="shared" si="6"/>
        <v>150</v>
      </c>
      <c r="U23" s="12">
        <f t="shared" si="6"/>
        <v>0</v>
      </c>
      <c r="V23" s="12">
        <f t="shared" si="6"/>
        <v>450</v>
      </c>
      <c r="W23" s="14">
        <f t="shared" si="7"/>
        <v>4000</v>
      </c>
      <c r="X23" s="14">
        <f t="shared" si="7"/>
        <v>2140</v>
      </c>
      <c r="Y23" s="14">
        <f t="shared" si="7"/>
        <v>2128</v>
      </c>
      <c r="Z23" s="14">
        <f t="shared" si="7"/>
        <v>1591</v>
      </c>
      <c r="AA23" s="14">
        <f t="shared" si="7"/>
        <v>2263</v>
      </c>
      <c r="AB23" s="2">
        <f t="shared" si="8"/>
        <v>12122</v>
      </c>
    </row>
    <row r="25" spans="1:28" x14ac:dyDescent="0.3">
      <c r="A25" t="s">
        <v>23</v>
      </c>
      <c r="B25" s="2">
        <f>MAX(B4:B23)</f>
        <v>180</v>
      </c>
      <c r="C25">
        <f>MAX(C4:C23)</f>
        <v>49</v>
      </c>
      <c r="M25" s="2">
        <f t="shared" ref="M25:AB25" si="9">MAX(M4:M23)</f>
        <v>8460</v>
      </c>
      <c r="N25" s="2">
        <f t="shared" si="9"/>
        <v>3200</v>
      </c>
      <c r="O25" s="2">
        <f t="shared" si="9"/>
        <v>3280</v>
      </c>
      <c r="P25" s="2">
        <f t="shared" si="9"/>
        <v>3040</v>
      </c>
      <c r="Q25" s="2">
        <f t="shared" si="9"/>
        <v>3600</v>
      </c>
      <c r="R25" s="2">
        <f t="shared" si="9"/>
        <v>630</v>
      </c>
      <c r="S25" s="2">
        <f t="shared" si="9"/>
        <v>440</v>
      </c>
      <c r="T25" s="2">
        <f t="shared" si="9"/>
        <v>600</v>
      </c>
      <c r="U25" s="2">
        <f t="shared" si="9"/>
        <v>900</v>
      </c>
      <c r="V25" s="2">
        <f t="shared" si="9"/>
        <v>450</v>
      </c>
      <c r="W25" s="2">
        <f t="shared" si="9"/>
        <v>9090</v>
      </c>
      <c r="X25" s="2">
        <f t="shared" si="9"/>
        <v>3200</v>
      </c>
      <c r="Y25" s="2">
        <f t="shared" si="9"/>
        <v>3320</v>
      </c>
      <c r="Z25" s="2">
        <f t="shared" si="9"/>
        <v>3040</v>
      </c>
      <c r="AA25" s="2">
        <f t="shared" si="9"/>
        <v>3800</v>
      </c>
      <c r="AB25" s="2">
        <f t="shared" si="9"/>
        <v>17482</v>
      </c>
    </row>
    <row r="26" spans="1:28" x14ac:dyDescent="0.3">
      <c r="A26" t="s">
        <v>24</v>
      </c>
      <c r="B26" s="2">
        <f>MIN(B4:B23)</f>
        <v>50</v>
      </c>
      <c r="C26">
        <f>MIN(C4:C23)</f>
        <v>30</v>
      </c>
      <c r="M26" s="2">
        <f t="shared" ref="M26:AB26" si="10">MIN(M4:M23)</f>
        <v>2250</v>
      </c>
      <c r="N26" s="2">
        <f t="shared" si="10"/>
        <v>1224</v>
      </c>
      <c r="O26" s="2">
        <f t="shared" si="10"/>
        <v>1476</v>
      </c>
      <c r="P26" s="2">
        <f t="shared" si="10"/>
        <v>1400</v>
      </c>
      <c r="Q26" s="2">
        <f t="shared" si="10"/>
        <v>1353</v>
      </c>
      <c r="R26" s="2">
        <f t="shared" si="10"/>
        <v>0</v>
      </c>
      <c r="S26" s="2">
        <f t="shared" si="10"/>
        <v>0</v>
      </c>
      <c r="T26" s="2">
        <f t="shared" si="10"/>
        <v>0</v>
      </c>
      <c r="U26" s="2">
        <f t="shared" si="10"/>
        <v>0</v>
      </c>
      <c r="V26" s="2">
        <f t="shared" si="10"/>
        <v>0</v>
      </c>
      <c r="W26" s="2">
        <f t="shared" si="10"/>
        <v>2375</v>
      </c>
      <c r="X26" s="2">
        <f t="shared" si="10"/>
        <v>1224</v>
      </c>
      <c r="Y26" s="2">
        <f t="shared" si="10"/>
        <v>1476</v>
      </c>
      <c r="Z26" s="2">
        <f t="shared" si="10"/>
        <v>1400</v>
      </c>
      <c r="AA26" s="2">
        <f t="shared" si="10"/>
        <v>1353</v>
      </c>
      <c r="AB26" s="2">
        <f t="shared" si="10"/>
        <v>9446</v>
      </c>
    </row>
    <row r="27" spans="1:28" x14ac:dyDescent="0.3">
      <c r="A27" t="s">
        <v>25</v>
      </c>
      <c r="B27" s="2">
        <f>AVERAGE(B4:B23)</f>
        <v>100.2</v>
      </c>
      <c r="C27">
        <f>AVERAGE(C4:C23)</f>
        <v>39.9</v>
      </c>
      <c r="M27" s="2">
        <f t="shared" ref="M27:AB27" si="11">AVERAGE(M4:M23)</f>
        <v>4036.65</v>
      </c>
      <c r="N27" s="2">
        <f t="shared" si="11"/>
        <v>1721.3</v>
      </c>
      <c r="O27" s="2">
        <f t="shared" si="11"/>
        <v>1768.35</v>
      </c>
      <c r="P27" s="2">
        <f t="shared" si="11"/>
        <v>1832.55</v>
      </c>
      <c r="Q27" s="2">
        <f t="shared" si="11"/>
        <v>1855.9</v>
      </c>
      <c r="R27" s="2">
        <f t="shared" si="11"/>
        <v>122.2</v>
      </c>
      <c r="S27" s="2">
        <f t="shared" si="11"/>
        <v>132</v>
      </c>
      <c r="T27" s="2">
        <f t="shared" si="11"/>
        <v>132.27500000000001</v>
      </c>
      <c r="U27" s="2">
        <f t="shared" si="11"/>
        <v>170.375</v>
      </c>
      <c r="V27" s="2">
        <f t="shared" si="11"/>
        <v>149.42500000000001</v>
      </c>
      <c r="W27" s="2">
        <f t="shared" si="11"/>
        <v>4158.8500000000004</v>
      </c>
      <c r="X27" s="2">
        <f t="shared" si="11"/>
        <v>1853.3</v>
      </c>
      <c r="Y27" s="2">
        <f t="shared" si="11"/>
        <v>1900.625</v>
      </c>
      <c r="Z27" s="2">
        <f t="shared" si="11"/>
        <v>2002.925</v>
      </c>
      <c r="AA27" s="2">
        <f t="shared" si="11"/>
        <v>2005.325</v>
      </c>
      <c r="AB27" s="2">
        <f t="shared" si="11"/>
        <v>11921.025</v>
      </c>
    </row>
    <row r="28" spans="1:28" x14ac:dyDescent="0.3">
      <c r="A28" t="s">
        <v>26</v>
      </c>
      <c r="C28">
        <f>SUM(C4:C23)</f>
        <v>798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f>SUM(AB4:AB23)</f>
        <v>238420.5</v>
      </c>
    </row>
  </sheetData>
  <mergeCells count="2">
    <mergeCell ref="C2:D2"/>
    <mergeCell ref="R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9BDD-7F63-40EF-A4EF-1B35CA1EFA0B}">
  <dimension ref="A1:N27"/>
  <sheetViews>
    <sheetView zoomScale="51" workbookViewId="0">
      <selection activeCell="AA1" sqref="AA1"/>
    </sheetView>
  </sheetViews>
  <sheetFormatPr defaultRowHeight="14.4" x14ac:dyDescent="0.3"/>
  <cols>
    <col min="1" max="1" width="14.109375" customWidth="1"/>
    <col min="2" max="2" width="12.33203125" customWidth="1"/>
    <col min="3" max="3" width="11.21875" customWidth="1"/>
    <col min="4" max="4" width="9.88671875" customWidth="1"/>
    <col min="5" max="5" width="8.88671875" customWidth="1"/>
    <col min="6" max="6" width="8.33203125" customWidth="1"/>
    <col min="9" max="9" width="8.88671875" customWidth="1"/>
    <col min="14" max="14" width="10" bestFit="1" customWidth="1"/>
  </cols>
  <sheetData>
    <row r="1" spans="1:14" ht="150" x14ac:dyDescent="0.4">
      <c r="A1" s="16" t="s">
        <v>77</v>
      </c>
      <c r="C1" s="17" t="s">
        <v>35</v>
      </c>
      <c r="D1" s="17" t="s">
        <v>36</v>
      </c>
      <c r="E1" s="17" t="s">
        <v>37</v>
      </c>
      <c r="F1" s="17" t="s">
        <v>38</v>
      </c>
      <c r="I1" s="17" t="s">
        <v>35</v>
      </c>
      <c r="J1" s="17" t="s">
        <v>36</v>
      </c>
      <c r="K1" s="17" t="s">
        <v>37</v>
      </c>
      <c r="L1" s="17" t="s">
        <v>38</v>
      </c>
      <c r="N1" s="17" t="s">
        <v>79</v>
      </c>
    </row>
    <row r="2" spans="1:14" ht="15.6" x14ac:dyDescent="0.3">
      <c r="B2" s="18" t="s">
        <v>78</v>
      </c>
      <c r="C2" s="18">
        <v>100</v>
      </c>
      <c r="D2" s="18">
        <v>100</v>
      </c>
      <c r="E2" s="18">
        <v>100</v>
      </c>
      <c r="F2" s="18">
        <v>1</v>
      </c>
    </row>
    <row r="3" spans="1:14" ht="18" x14ac:dyDescent="0.35">
      <c r="A3" s="15" t="s">
        <v>33</v>
      </c>
      <c r="B3" s="15" t="s">
        <v>34</v>
      </c>
      <c r="I3" s="15"/>
    </row>
    <row r="4" spans="1:14" ht="18" x14ac:dyDescent="0.35">
      <c r="A4" s="15" t="s">
        <v>39</v>
      </c>
      <c r="B4" s="15" t="s">
        <v>40</v>
      </c>
      <c r="C4" s="15">
        <v>87</v>
      </c>
      <c r="D4" s="15">
        <v>92</v>
      </c>
      <c r="E4" s="15">
        <v>78</v>
      </c>
      <c r="F4" s="15">
        <v>1</v>
      </c>
      <c r="I4" s="20">
        <f>C4/C$2</f>
        <v>0.87</v>
      </c>
      <c r="J4" s="20">
        <f t="shared" ref="J4:L19" si="0">D4/D$2</f>
        <v>0.92</v>
      </c>
      <c r="K4" s="20">
        <f t="shared" si="0"/>
        <v>0.78</v>
      </c>
      <c r="L4" s="20">
        <f t="shared" si="0"/>
        <v>1</v>
      </c>
      <c r="N4" s="20" t="b">
        <f>OR(I4&lt;0.5,J4&lt;0.5,K4&lt;0.5,L4&lt;0.5)</f>
        <v>0</v>
      </c>
    </row>
    <row r="5" spans="1:14" ht="18" x14ac:dyDescent="0.35">
      <c r="A5" s="15" t="s">
        <v>41</v>
      </c>
      <c r="B5" s="15" t="s">
        <v>42</v>
      </c>
      <c r="C5" s="15">
        <v>94</v>
      </c>
      <c r="D5" s="15">
        <v>88</v>
      </c>
      <c r="E5" s="15">
        <v>91</v>
      </c>
      <c r="F5" s="15">
        <v>1</v>
      </c>
      <c r="I5" s="20">
        <f t="shared" ref="I5:I23" si="1">C5/C$2</f>
        <v>0.94</v>
      </c>
      <c r="J5" s="20">
        <f t="shared" si="0"/>
        <v>0.88</v>
      </c>
      <c r="K5" s="20">
        <f t="shared" si="0"/>
        <v>0.91</v>
      </c>
      <c r="L5" s="20">
        <f t="shared" si="0"/>
        <v>1</v>
      </c>
      <c r="N5" s="20" t="b">
        <f t="shared" ref="N5:N23" si="2">OR(I5&lt;0.5,J5&lt;0.5,K5&lt;0.5,L5&lt;0.5)</f>
        <v>0</v>
      </c>
    </row>
    <row r="6" spans="1:14" ht="18" x14ac:dyDescent="0.35">
      <c r="A6" s="15" t="s">
        <v>43</v>
      </c>
      <c r="B6" s="15" t="s">
        <v>44</v>
      </c>
      <c r="C6" s="15">
        <v>76</v>
      </c>
      <c r="D6" s="15">
        <v>41</v>
      </c>
      <c r="E6" s="15">
        <v>85</v>
      </c>
      <c r="F6" s="15">
        <v>1</v>
      </c>
      <c r="I6" s="20">
        <f t="shared" si="1"/>
        <v>0.76</v>
      </c>
      <c r="J6" s="20">
        <f t="shared" si="0"/>
        <v>0.41</v>
      </c>
      <c r="K6" s="20">
        <f t="shared" si="0"/>
        <v>0.85</v>
      </c>
      <c r="L6" s="20">
        <f t="shared" si="0"/>
        <v>1</v>
      </c>
      <c r="N6" s="20" t="b">
        <f t="shared" si="2"/>
        <v>1</v>
      </c>
    </row>
    <row r="7" spans="1:14" ht="18" x14ac:dyDescent="0.35">
      <c r="A7" s="15" t="s">
        <v>45</v>
      </c>
      <c r="B7" s="15" t="s">
        <v>46</v>
      </c>
      <c r="C7" s="15">
        <v>91</v>
      </c>
      <c r="D7" s="15">
        <v>95</v>
      </c>
      <c r="E7" s="15">
        <v>89</v>
      </c>
      <c r="F7" s="15">
        <v>1</v>
      </c>
      <c r="I7" s="20">
        <f t="shared" si="1"/>
        <v>0.91</v>
      </c>
      <c r="J7" s="20">
        <f t="shared" si="0"/>
        <v>0.95</v>
      </c>
      <c r="K7" s="20">
        <f t="shared" si="0"/>
        <v>0.89</v>
      </c>
      <c r="L7" s="20">
        <f t="shared" si="0"/>
        <v>1</v>
      </c>
      <c r="N7" s="20" t="b">
        <f t="shared" si="2"/>
        <v>0</v>
      </c>
    </row>
    <row r="8" spans="1:14" ht="18" x14ac:dyDescent="0.35">
      <c r="A8" s="15" t="s">
        <v>47</v>
      </c>
      <c r="B8" s="15" t="s">
        <v>48</v>
      </c>
      <c r="C8" s="15">
        <v>53</v>
      </c>
      <c r="D8" s="15">
        <v>79</v>
      </c>
      <c r="E8" s="15">
        <v>74</v>
      </c>
      <c r="F8" s="15">
        <v>1</v>
      </c>
      <c r="I8" s="20">
        <f t="shared" si="1"/>
        <v>0.53</v>
      </c>
      <c r="J8" s="20">
        <f t="shared" si="0"/>
        <v>0.79</v>
      </c>
      <c r="K8" s="20">
        <f t="shared" si="0"/>
        <v>0.74</v>
      </c>
      <c r="L8" s="20">
        <f t="shared" si="0"/>
        <v>1</v>
      </c>
      <c r="N8" s="20" t="b">
        <f t="shared" si="2"/>
        <v>0</v>
      </c>
    </row>
    <row r="9" spans="1:14" ht="18" x14ac:dyDescent="0.35">
      <c r="A9" s="15" t="s">
        <v>49</v>
      </c>
      <c r="B9" s="15" t="s">
        <v>50</v>
      </c>
      <c r="C9" s="15">
        <v>96</v>
      </c>
      <c r="D9" s="15">
        <v>90</v>
      </c>
      <c r="E9" s="15">
        <v>93</v>
      </c>
      <c r="F9" s="15">
        <v>1</v>
      </c>
      <c r="I9" s="20">
        <f t="shared" si="1"/>
        <v>0.96</v>
      </c>
      <c r="J9" s="20">
        <f t="shared" si="0"/>
        <v>0.9</v>
      </c>
      <c r="K9" s="20">
        <f t="shared" si="0"/>
        <v>0.93</v>
      </c>
      <c r="L9" s="20">
        <f t="shared" si="0"/>
        <v>1</v>
      </c>
      <c r="N9" s="20" t="b">
        <f t="shared" si="2"/>
        <v>0</v>
      </c>
    </row>
    <row r="10" spans="1:14" ht="18" x14ac:dyDescent="0.35">
      <c r="A10" s="15" t="s">
        <v>51</v>
      </c>
      <c r="B10" s="15" t="s">
        <v>52</v>
      </c>
      <c r="C10" s="15">
        <v>88</v>
      </c>
      <c r="D10" s="15">
        <v>85</v>
      </c>
      <c r="E10" s="15">
        <v>80</v>
      </c>
      <c r="F10" s="15">
        <v>0</v>
      </c>
      <c r="I10" s="20">
        <f t="shared" si="1"/>
        <v>0.88</v>
      </c>
      <c r="J10" s="20">
        <f t="shared" si="0"/>
        <v>0.85</v>
      </c>
      <c r="K10" s="20">
        <f t="shared" si="0"/>
        <v>0.8</v>
      </c>
      <c r="L10" s="20">
        <f t="shared" si="0"/>
        <v>0</v>
      </c>
      <c r="N10" s="20" t="b">
        <f t="shared" si="2"/>
        <v>1</v>
      </c>
    </row>
    <row r="11" spans="1:14" ht="18" x14ac:dyDescent="0.35">
      <c r="A11" s="15" t="s">
        <v>53</v>
      </c>
      <c r="B11" s="15" t="s">
        <v>54</v>
      </c>
      <c r="C11" s="15">
        <v>79</v>
      </c>
      <c r="D11" s="15">
        <v>74</v>
      </c>
      <c r="E11" s="15">
        <v>87</v>
      </c>
      <c r="F11" s="15">
        <v>1</v>
      </c>
      <c r="I11" s="20">
        <f t="shared" si="1"/>
        <v>0.79</v>
      </c>
      <c r="J11" s="20">
        <f t="shared" si="0"/>
        <v>0.74</v>
      </c>
      <c r="K11" s="20">
        <f t="shared" si="0"/>
        <v>0.87</v>
      </c>
      <c r="L11" s="20">
        <f t="shared" si="0"/>
        <v>1</v>
      </c>
      <c r="N11" s="20" t="b">
        <f t="shared" si="2"/>
        <v>0</v>
      </c>
    </row>
    <row r="12" spans="1:14" ht="18" x14ac:dyDescent="0.35">
      <c r="A12" s="15" t="s">
        <v>55</v>
      </c>
      <c r="B12" s="15" t="s">
        <v>56</v>
      </c>
      <c r="C12" s="15">
        <v>85</v>
      </c>
      <c r="D12" s="15">
        <v>77</v>
      </c>
      <c r="E12" s="15">
        <v>82</v>
      </c>
      <c r="F12" s="15">
        <v>0</v>
      </c>
      <c r="I12" s="20">
        <f t="shared" si="1"/>
        <v>0.85</v>
      </c>
      <c r="J12" s="20">
        <f t="shared" si="0"/>
        <v>0.77</v>
      </c>
      <c r="K12" s="20">
        <f t="shared" si="0"/>
        <v>0.82</v>
      </c>
      <c r="L12" s="20">
        <f t="shared" si="0"/>
        <v>0</v>
      </c>
      <c r="N12" s="20" t="b">
        <f t="shared" si="2"/>
        <v>1</v>
      </c>
    </row>
    <row r="13" spans="1:14" ht="18" x14ac:dyDescent="0.35">
      <c r="A13" s="15" t="s">
        <v>57</v>
      </c>
      <c r="B13" s="15" t="s">
        <v>58</v>
      </c>
      <c r="C13" s="15">
        <v>92</v>
      </c>
      <c r="D13" s="15">
        <v>89</v>
      </c>
      <c r="E13" s="15">
        <v>95</v>
      </c>
      <c r="F13" s="15">
        <v>1</v>
      </c>
      <c r="I13" s="20">
        <f t="shared" si="1"/>
        <v>0.92</v>
      </c>
      <c r="J13" s="20">
        <f t="shared" si="0"/>
        <v>0.89</v>
      </c>
      <c r="K13" s="20">
        <f t="shared" si="0"/>
        <v>0.95</v>
      </c>
      <c r="L13" s="20">
        <f t="shared" si="0"/>
        <v>1</v>
      </c>
      <c r="N13" s="20" t="b">
        <f t="shared" si="2"/>
        <v>0</v>
      </c>
    </row>
    <row r="14" spans="1:14" ht="18" x14ac:dyDescent="0.35">
      <c r="A14" s="15" t="s">
        <v>59</v>
      </c>
      <c r="B14" s="15" t="s">
        <v>60</v>
      </c>
      <c r="C14" s="15">
        <v>81</v>
      </c>
      <c r="D14" s="15">
        <v>83</v>
      </c>
      <c r="E14" s="15">
        <v>76</v>
      </c>
      <c r="F14" s="15">
        <v>1</v>
      </c>
      <c r="I14" s="20">
        <f t="shared" si="1"/>
        <v>0.81</v>
      </c>
      <c r="J14" s="20">
        <f t="shared" si="0"/>
        <v>0.83</v>
      </c>
      <c r="K14" s="20">
        <f t="shared" si="0"/>
        <v>0.76</v>
      </c>
      <c r="L14" s="20">
        <f t="shared" si="0"/>
        <v>1</v>
      </c>
      <c r="N14" s="20" t="b">
        <f t="shared" si="2"/>
        <v>0</v>
      </c>
    </row>
    <row r="15" spans="1:14" ht="18" x14ac:dyDescent="0.35">
      <c r="A15" s="15" t="s">
        <v>61</v>
      </c>
      <c r="B15" s="15" t="s">
        <v>62</v>
      </c>
      <c r="C15" s="15">
        <v>97</v>
      </c>
      <c r="D15" s="15">
        <v>96</v>
      </c>
      <c r="E15" s="15">
        <v>90</v>
      </c>
      <c r="F15" s="15">
        <v>1</v>
      </c>
      <c r="I15" s="20">
        <f t="shared" si="1"/>
        <v>0.97</v>
      </c>
      <c r="J15" s="20">
        <f t="shared" si="0"/>
        <v>0.96</v>
      </c>
      <c r="K15" s="20">
        <f t="shared" si="0"/>
        <v>0.9</v>
      </c>
      <c r="L15" s="20">
        <f t="shared" si="0"/>
        <v>1</v>
      </c>
      <c r="N15" s="20" t="b">
        <f t="shared" si="2"/>
        <v>0</v>
      </c>
    </row>
    <row r="16" spans="1:14" ht="18" x14ac:dyDescent="0.35">
      <c r="A16" s="15" t="s">
        <v>63</v>
      </c>
      <c r="B16" s="15" t="s">
        <v>42</v>
      </c>
      <c r="C16" s="15">
        <v>44</v>
      </c>
      <c r="D16" s="15">
        <v>80</v>
      </c>
      <c r="E16" s="15">
        <v>79</v>
      </c>
      <c r="F16" s="15">
        <v>1</v>
      </c>
      <c r="I16" s="20">
        <f t="shared" si="1"/>
        <v>0.44</v>
      </c>
      <c r="J16" s="20">
        <f t="shared" si="0"/>
        <v>0.8</v>
      </c>
      <c r="K16" s="20">
        <f t="shared" si="0"/>
        <v>0.79</v>
      </c>
      <c r="L16" s="20">
        <f t="shared" si="0"/>
        <v>1</v>
      </c>
      <c r="N16" s="20" t="b">
        <f t="shared" si="2"/>
        <v>1</v>
      </c>
    </row>
    <row r="17" spans="1:14" ht="18" x14ac:dyDescent="0.35">
      <c r="A17" s="15" t="s">
        <v>64</v>
      </c>
      <c r="B17" s="15" t="s">
        <v>44</v>
      </c>
      <c r="C17" s="15">
        <v>89</v>
      </c>
      <c r="D17" s="15">
        <v>91</v>
      </c>
      <c r="E17" s="15">
        <v>84</v>
      </c>
      <c r="F17" s="15">
        <v>1</v>
      </c>
      <c r="I17" s="20">
        <f t="shared" si="1"/>
        <v>0.89</v>
      </c>
      <c r="J17" s="20">
        <f t="shared" si="0"/>
        <v>0.91</v>
      </c>
      <c r="K17" s="20">
        <f t="shared" si="0"/>
        <v>0.84</v>
      </c>
      <c r="L17" s="20">
        <f t="shared" si="0"/>
        <v>1</v>
      </c>
      <c r="N17" s="20" t="b">
        <f t="shared" si="2"/>
        <v>0</v>
      </c>
    </row>
    <row r="18" spans="1:14" ht="18" x14ac:dyDescent="0.35">
      <c r="A18" s="15" t="s">
        <v>65</v>
      </c>
      <c r="B18" s="15" t="s">
        <v>66</v>
      </c>
      <c r="C18" s="15">
        <v>86</v>
      </c>
      <c r="D18" s="15">
        <v>78</v>
      </c>
      <c r="E18" s="15">
        <v>88</v>
      </c>
      <c r="F18" s="15">
        <v>0</v>
      </c>
      <c r="I18" s="20">
        <f t="shared" si="1"/>
        <v>0.86</v>
      </c>
      <c r="J18" s="20">
        <f t="shared" si="0"/>
        <v>0.78</v>
      </c>
      <c r="K18" s="20">
        <f t="shared" si="0"/>
        <v>0.88</v>
      </c>
      <c r="L18" s="20">
        <f t="shared" si="0"/>
        <v>0</v>
      </c>
      <c r="N18" s="20" t="b">
        <f t="shared" si="2"/>
        <v>1</v>
      </c>
    </row>
    <row r="19" spans="1:14" ht="18" x14ac:dyDescent="0.35">
      <c r="A19" s="15" t="s">
        <v>67</v>
      </c>
      <c r="B19" s="15" t="s">
        <v>68</v>
      </c>
      <c r="C19" s="15">
        <v>93</v>
      </c>
      <c r="D19" s="15">
        <v>77</v>
      </c>
      <c r="E19" s="15">
        <v>92</v>
      </c>
      <c r="F19" s="15">
        <v>1</v>
      </c>
      <c r="I19" s="20">
        <f t="shared" si="1"/>
        <v>0.93</v>
      </c>
      <c r="J19" s="20">
        <f t="shared" si="0"/>
        <v>0.77</v>
      </c>
      <c r="K19" s="20">
        <f t="shared" si="0"/>
        <v>0.92</v>
      </c>
      <c r="L19" s="20">
        <f t="shared" si="0"/>
        <v>1</v>
      </c>
      <c r="N19" s="20" t="b">
        <f t="shared" si="2"/>
        <v>0</v>
      </c>
    </row>
    <row r="20" spans="1:14" ht="18" x14ac:dyDescent="0.35">
      <c r="A20" s="15" t="s">
        <v>69</v>
      </c>
      <c r="B20" s="15" t="s">
        <v>70</v>
      </c>
      <c r="C20" s="15">
        <v>78</v>
      </c>
      <c r="D20" s="15">
        <v>84</v>
      </c>
      <c r="E20" s="15">
        <v>81</v>
      </c>
      <c r="F20" s="15">
        <v>1</v>
      </c>
      <c r="I20" s="20">
        <f t="shared" si="1"/>
        <v>0.78</v>
      </c>
      <c r="J20" s="20">
        <f t="shared" ref="J20:J23" si="3">D20/D$2</f>
        <v>0.84</v>
      </c>
      <c r="K20" s="20">
        <f t="shared" ref="K20:L23" si="4">E20/E$2</f>
        <v>0.81</v>
      </c>
      <c r="L20" s="20">
        <f t="shared" si="4"/>
        <v>1</v>
      </c>
      <c r="N20" s="20" t="b">
        <f t="shared" si="2"/>
        <v>0</v>
      </c>
    </row>
    <row r="21" spans="1:14" ht="18" x14ac:dyDescent="0.35">
      <c r="A21" s="15" t="s">
        <v>71</v>
      </c>
      <c r="B21" s="15" t="s">
        <v>72</v>
      </c>
      <c r="C21" s="15">
        <v>95</v>
      </c>
      <c r="D21" s="15">
        <v>93</v>
      </c>
      <c r="E21" s="15">
        <v>89</v>
      </c>
      <c r="F21" s="15">
        <v>1</v>
      </c>
      <c r="I21" s="20">
        <f t="shared" si="1"/>
        <v>0.95</v>
      </c>
      <c r="J21" s="20">
        <f t="shared" si="3"/>
        <v>0.93</v>
      </c>
      <c r="K21" s="20">
        <f t="shared" si="4"/>
        <v>0.89</v>
      </c>
      <c r="L21" s="20">
        <f t="shared" si="4"/>
        <v>1</v>
      </c>
      <c r="N21" s="20" t="b">
        <f t="shared" si="2"/>
        <v>0</v>
      </c>
    </row>
    <row r="22" spans="1:14" ht="18" x14ac:dyDescent="0.35">
      <c r="A22" s="15" t="s">
        <v>73</v>
      </c>
      <c r="B22" s="15" t="s">
        <v>74</v>
      </c>
      <c r="C22" s="15">
        <v>82</v>
      </c>
      <c r="D22" s="15">
        <v>75</v>
      </c>
      <c r="E22" s="15">
        <v>77</v>
      </c>
      <c r="F22" s="15">
        <v>0</v>
      </c>
      <c r="I22" s="20">
        <f t="shared" si="1"/>
        <v>0.82</v>
      </c>
      <c r="J22" s="20">
        <f t="shared" si="3"/>
        <v>0.75</v>
      </c>
      <c r="K22" s="20">
        <f t="shared" si="4"/>
        <v>0.77</v>
      </c>
      <c r="L22" s="20">
        <f t="shared" si="4"/>
        <v>0</v>
      </c>
      <c r="N22" s="20" t="b">
        <f t="shared" si="2"/>
        <v>1</v>
      </c>
    </row>
    <row r="23" spans="1:14" ht="18" x14ac:dyDescent="0.35">
      <c r="A23" s="15" t="s">
        <v>75</v>
      </c>
      <c r="B23" s="15" t="s">
        <v>76</v>
      </c>
      <c r="C23" s="15">
        <v>90</v>
      </c>
      <c r="D23" s="15">
        <v>97</v>
      </c>
      <c r="E23" s="15">
        <v>94</v>
      </c>
      <c r="F23" s="15">
        <v>1</v>
      </c>
      <c r="I23" s="20">
        <f t="shared" si="1"/>
        <v>0.9</v>
      </c>
      <c r="J23" s="20">
        <f t="shared" si="3"/>
        <v>0.97</v>
      </c>
      <c r="K23" s="20">
        <f t="shared" si="4"/>
        <v>0.94</v>
      </c>
      <c r="L23" s="20">
        <f t="shared" si="4"/>
        <v>1</v>
      </c>
      <c r="N23" s="20" t="b">
        <f t="shared" si="2"/>
        <v>0</v>
      </c>
    </row>
    <row r="25" spans="1:14" ht="18" x14ac:dyDescent="0.35">
      <c r="A25" s="15" t="s">
        <v>23</v>
      </c>
      <c r="C25" s="18">
        <f>MAX(C4:C23)</f>
        <v>97</v>
      </c>
      <c r="D25" s="18">
        <f>MAX(D4:D23)</f>
        <v>97</v>
      </c>
      <c r="E25" s="18">
        <f>MAX(E4:E23)</f>
        <v>95</v>
      </c>
      <c r="F25" s="18"/>
      <c r="G25" s="18"/>
      <c r="H25" s="18"/>
      <c r="I25" s="19">
        <f>MAX(I4:I23)</f>
        <v>0.97</v>
      </c>
      <c r="J25" s="19">
        <f>MAX(J4:J23)</f>
        <v>0.97</v>
      </c>
      <c r="K25" s="19">
        <f>MAX(K4:K23)</f>
        <v>0.95</v>
      </c>
    </row>
    <row r="26" spans="1:14" ht="18" x14ac:dyDescent="0.35">
      <c r="A26" s="15" t="s">
        <v>24</v>
      </c>
      <c r="C26" s="18">
        <f>MIN(C4:C23)</f>
        <v>44</v>
      </c>
      <c r="D26" s="18">
        <f>MIN(D4:D23)</f>
        <v>41</v>
      </c>
      <c r="E26" s="18">
        <f>MIN(E4:E23)</f>
        <v>74</v>
      </c>
      <c r="F26" s="18"/>
      <c r="G26" s="18"/>
      <c r="H26" s="18"/>
      <c r="I26" s="19">
        <f>MIN(I4:I23)</f>
        <v>0.44</v>
      </c>
      <c r="J26" s="19">
        <f>MIN(J4:J23)</f>
        <v>0.41</v>
      </c>
      <c r="K26" s="19">
        <f>MIN(K4:K23)</f>
        <v>0.74</v>
      </c>
    </row>
    <row r="27" spans="1:14" ht="18" x14ac:dyDescent="0.35">
      <c r="A27" s="15" t="s">
        <v>25</v>
      </c>
      <c r="C27" s="18">
        <f>AVERAGE(C4:C23)</f>
        <v>83.8</v>
      </c>
      <c r="D27" s="18">
        <f>AVERAGE(D4:D23)</f>
        <v>83.2</v>
      </c>
      <c r="E27" s="18">
        <f>AVERAGE(E4:E23)</f>
        <v>85.2</v>
      </c>
      <c r="F27" s="18"/>
      <c r="G27" s="18"/>
      <c r="H27" s="18"/>
      <c r="I27" s="19">
        <f>AVERAGE(I4:I23)</f>
        <v>0.83799999999999986</v>
      </c>
      <c r="J27" s="19">
        <f>AVERAGE(J4:J23)</f>
        <v>0.83200000000000007</v>
      </c>
      <c r="K27" s="19">
        <f>AVERAGE(K4:K23)</f>
        <v>0.85200000000000009</v>
      </c>
    </row>
  </sheetData>
  <conditionalFormatting sqref="C4:C23">
    <cfRule type="iconSet" priority="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4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E23"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3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3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4:L23 N4:N23">
    <cfRule type="cellIs" dxfId="3" priority="2" operator="lessThan">
      <formula>0.5</formula>
    </cfRule>
    <cfRule type="cellIs" dxfId="2" priority="6" operator="lessThan">
      <formula>0.5</formula>
    </cfRule>
  </conditionalFormatting>
  <conditionalFormatting sqref="N4:N23">
    <cfRule type="cellIs" dxfId="1" priority="1" operator="equal">
      <formula>TRUE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26CE-9945-4070-ABC0-8E0FDA55B1BA}">
  <dimension ref="A1:L8"/>
  <sheetViews>
    <sheetView topLeftCell="E1" workbookViewId="0">
      <selection activeCell="N8" sqref="N8"/>
    </sheetView>
  </sheetViews>
  <sheetFormatPr defaultRowHeight="14.4" x14ac:dyDescent="0.3"/>
  <cols>
    <col min="1" max="1" width="12.44140625" customWidth="1"/>
  </cols>
  <sheetData>
    <row r="1" spans="1:12" x14ac:dyDescent="0.3">
      <c r="A1" t="s">
        <v>80</v>
      </c>
    </row>
    <row r="3" spans="1:12" ht="15.6" x14ac:dyDescent="0.3">
      <c r="A3" s="18" t="s">
        <v>81</v>
      </c>
      <c r="B3" s="21" t="s">
        <v>28</v>
      </c>
      <c r="C3" s="21">
        <v>3</v>
      </c>
      <c r="D3" s="22" t="s">
        <v>82</v>
      </c>
      <c r="E3" s="22">
        <v>5</v>
      </c>
      <c r="F3" s="23" t="s">
        <v>83</v>
      </c>
      <c r="G3" s="23">
        <v>4</v>
      </c>
      <c r="H3" s="24" t="s">
        <v>84</v>
      </c>
      <c r="I3" s="24">
        <v>5</v>
      </c>
      <c r="J3" s="25" t="s">
        <v>85</v>
      </c>
      <c r="K3" s="25">
        <v>1</v>
      </c>
      <c r="L3" s="18" t="s">
        <v>26</v>
      </c>
    </row>
    <row r="4" spans="1:12" ht="15.6" x14ac:dyDescent="0.3">
      <c r="A4" s="18" t="s">
        <v>86</v>
      </c>
      <c r="B4" s="21">
        <v>2</v>
      </c>
      <c r="C4" s="21">
        <f>B4*C$3</f>
        <v>6</v>
      </c>
      <c r="D4" s="22">
        <v>5</v>
      </c>
      <c r="E4" s="22">
        <f>D4*E$3</f>
        <v>25</v>
      </c>
      <c r="F4" s="23">
        <v>4</v>
      </c>
      <c r="G4" s="23">
        <f>F4*G$3</f>
        <v>16</v>
      </c>
      <c r="H4" s="24">
        <v>3</v>
      </c>
      <c r="I4" s="24">
        <f>H4*I$3</f>
        <v>15</v>
      </c>
      <c r="J4" s="25">
        <v>4</v>
      </c>
      <c r="K4" s="25">
        <f>J4*K$3</f>
        <v>4</v>
      </c>
      <c r="L4" s="18">
        <f>C4+E4+G4+I4+K4</f>
        <v>66</v>
      </c>
    </row>
    <row r="5" spans="1:12" ht="15.6" x14ac:dyDescent="0.3">
      <c r="A5" s="18" t="s">
        <v>87</v>
      </c>
      <c r="B5" s="21">
        <v>4</v>
      </c>
      <c r="C5" s="21">
        <f t="shared" ref="C5:E8" si="0">B5*C$3</f>
        <v>12</v>
      </c>
      <c r="D5" s="22">
        <v>4</v>
      </c>
      <c r="E5" s="22">
        <f>D5*E$3</f>
        <v>20</v>
      </c>
      <c r="F5" s="23">
        <v>2</v>
      </c>
      <c r="G5" s="23">
        <f t="shared" ref="G5" si="1">F5*G$3</f>
        <v>8</v>
      </c>
      <c r="H5" s="24">
        <v>1</v>
      </c>
      <c r="I5" s="24">
        <f t="shared" ref="I5" si="2">H5*I$3</f>
        <v>5</v>
      </c>
      <c r="J5" s="25">
        <v>3</v>
      </c>
      <c r="K5" s="25">
        <f t="shared" ref="K5" si="3">J5*K$3</f>
        <v>3</v>
      </c>
      <c r="L5" s="18">
        <f t="shared" ref="L5:L8" si="4">C5+E5+G5+I5+K5</f>
        <v>48</v>
      </c>
    </row>
    <row r="6" spans="1:12" ht="15.6" x14ac:dyDescent="0.3">
      <c r="A6" s="18" t="s">
        <v>88</v>
      </c>
      <c r="B6" s="21">
        <v>4</v>
      </c>
      <c r="C6" s="21">
        <f t="shared" si="0"/>
        <v>12</v>
      </c>
      <c r="D6" s="22">
        <v>3</v>
      </c>
      <c r="E6" s="22">
        <f>D6*E$3</f>
        <v>15</v>
      </c>
      <c r="F6" s="23">
        <v>3</v>
      </c>
      <c r="G6" s="23">
        <f t="shared" ref="G6" si="5">F6*G$3</f>
        <v>12</v>
      </c>
      <c r="H6" s="24">
        <v>4</v>
      </c>
      <c r="I6" s="24">
        <f t="shared" ref="I6" si="6">H6*I$3</f>
        <v>20</v>
      </c>
      <c r="J6" s="25">
        <v>4</v>
      </c>
      <c r="K6" s="25">
        <f t="shared" ref="K6" si="7">J6*K$3</f>
        <v>4</v>
      </c>
      <c r="L6" s="18">
        <f t="shared" si="4"/>
        <v>63</v>
      </c>
    </row>
    <row r="7" spans="1:12" ht="15.6" x14ac:dyDescent="0.3">
      <c r="A7" s="18" t="s">
        <v>90</v>
      </c>
      <c r="B7" s="21">
        <v>3</v>
      </c>
      <c r="C7" s="21">
        <f t="shared" si="0"/>
        <v>9</v>
      </c>
      <c r="D7" s="22">
        <v>4</v>
      </c>
      <c r="E7" s="22">
        <f t="shared" si="0"/>
        <v>20</v>
      </c>
      <c r="F7" s="23">
        <v>4</v>
      </c>
      <c r="G7" s="23">
        <f t="shared" ref="G7" si="8">F7*G$3</f>
        <v>16</v>
      </c>
      <c r="H7" s="24">
        <v>3.5</v>
      </c>
      <c r="I7" s="24">
        <f t="shared" ref="I7" si="9">H7*I$3</f>
        <v>17.5</v>
      </c>
      <c r="J7" s="25">
        <v>5</v>
      </c>
      <c r="K7" s="25">
        <f t="shared" ref="K7" si="10">J7*K$3</f>
        <v>5</v>
      </c>
      <c r="L7" s="18">
        <f t="shared" si="4"/>
        <v>67.5</v>
      </c>
    </row>
    <row r="8" spans="1:12" ht="15.6" x14ac:dyDescent="0.3">
      <c r="A8" s="18" t="s">
        <v>89</v>
      </c>
      <c r="B8" s="21">
        <v>2</v>
      </c>
      <c r="C8" s="21">
        <f t="shared" si="0"/>
        <v>6</v>
      </c>
      <c r="D8" s="22">
        <v>2</v>
      </c>
      <c r="E8" s="22">
        <f t="shared" si="0"/>
        <v>10</v>
      </c>
      <c r="F8" s="23">
        <v>5</v>
      </c>
      <c r="G8" s="23">
        <f t="shared" ref="G8" si="11">F8*G$3</f>
        <v>20</v>
      </c>
      <c r="H8" s="24">
        <v>3</v>
      </c>
      <c r="I8" s="24">
        <f t="shared" ref="I8" si="12">H8*I$3</f>
        <v>15</v>
      </c>
      <c r="J8" s="25">
        <v>1</v>
      </c>
      <c r="K8" s="25">
        <f t="shared" ref="K8" si="13">J8*K$3</f>
        <v>1</v>
      </c>
      <c r="L8" s="18">
        <f t="shared" si="4"/>
        <v>52</v>
      </c>
    </row>
  </sheetData>
  <conditionalFormatting sqref="L4:L8">
    <cfRule type="top10" dxfId="0" priority="1" percent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8707-8D16-4261-A5A2-88468D5ED345}">
  <dimension ref="A3:B14"/>
  <sheetViews>
    <sheetView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154" width="11.44140625" bestFit="1" customWidth="1"/>
    <col min="155" max="161" width="13.109375" bestFit="1" customWidth="1"/>
    <col min="162" max="162" width="11.6640625" bestFit="1" customWidth="1"/>
  </cols>
  <sheetData>
    <row r="3" spans="1:2" x14ac:dyDescent="0.3">
      <c r="A3" s="29" t="s">
        <v>307</v>
      </c>
      <c r="B3" t="s">
        <v>309</v>
      </c>
    </row>
    <row r="4" spans="1:2" x14ac:dyDescent="0.3">
      <c r="A4" s="30" t="s">
        <v>39</v>
      </c>
      <c r="B4" s="2">
        <v>732178</v>
      </c>
    </row>
    <row r="5" spans="1:2" x14ac:dyDescent="0.3">
      <c r="A5" s="30" t="s">
        <v>51</v>
      </c>
      <c r="B5" s="2">
        <v>1034226</v>
      </c>
    </row>
    <row r="6" spans="1:2" x14ac:dyDescent="0.3">
      <c r="A6" s="30" t="s">
        <v>45</v>
      </c>
      <c r="B6" s="2">
        <v>1198793</v>
      </c>
    </row>
    <row r="7" spans="1:2" x14ac:dyDescent="0.3">
      <c r="A7" s="30" t="s">
        <v>57</v>
      </c>
      <c r="B7" s="2">
        <v>1059145</v>
      </c>
    </row>
    <row r="8" spans="1:2" x14ac:dyDescent="0.3">
      <c r="A8" s="30" t="s">
        <v>49</v>
      </c>
      <c r="B8" s="2">
        <v>691126</v>
      </c>
    </row>
    <row r="9" spans="1:2" x14ac:dyDescent="0.3">
      <c r="A9" s="30" t="s">
        <v>41</v>
      </c>
      <c r="B9" s="2">
        <v>1253790</v>
      </c>
    </row>
    <row r="10" spans="1:2" x14ac:dyDescent="0.3">
      <c r="A10" s="30" t="s">
        <v>55</v>
      </c>
      <c r="B10" s="2">
        <v>1163289</v>
      </c>
    </row>
    <row r="11" spans="1:2" x14ac:dyDescent="0.3">
      <c r="A11" s="30" t="s">
        <v>43</v>
      </c>
      <c r="B11" s="2">
        <v>1117563</v>
      </c>
    </row>
    <row r="12" spans="1:2" x14ac:dyDescent="0.3">
      <c r="A12" s="30" t="s">
        <v>53</v>
      </c>
      <c r="B12" s="2">
        <v>1064502</v>
      </c>
    </row>
    <row r="13" spans="1:2" x14ac:dyDescent="0.3">
      <c r="A13" s="30" t="s">
        <v>47</v>
      </c>
      <c r="B13" s="2">
        <v>1110200</v>
      </c>
    </row>
    <row r="14" spans="1:2" x14ac:dyDescent="0.3">
      <c r="A14" s="30" t="s">
        <v>308</v>
      </c>
      <c r="B14" s="2">
        <v>10424812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E4D2-493F-414D-8F0F-D9390FD20A4E}">
  <dimension ref="A1:L165"/>
  <sheetViews>
    <sheetView tabSelected="1" workbookViewId="0">
      <selection activeCell="N1" sqref="N1"/>
    </sheetView>
  </sheetViews>
  <sheetFormatPr defaultRowHeight="14.4" x14ac:dyDescent="0.3"/>
  <cols>
    <col min="1" max="1" width="11.5546875" customWidth="1"/>
    <col min="2" max="2" width="13.77734375" customWidth="1"/>
    <col min="3" max="3" width="12.33203125" customWidth="1"/>
    <col min="4" max="4" width="18.5546875" customWidth="1"/>
    <col min="5" max="5" width="13.33203125" customWidth="1"/>
    <col min="6" max="6" width="18.33203125" customWidth="1"/>
    <col min="7" max="7" width="12.6640625" bestFit="1" customWidth="1"/>
    <col min="8" max="8" width="16.88671875" customWidth="1"/>
    <col min="9" max="10" width="14.109375" customWidth="1"/>
    <col min="11" max="11" width="12.77734375" customWidth="1"/>
    <col min="12" max="12" width="10.88671875" customWidth="1"/>
  </cols>
  <sheetData>
    <row r="1" spans="1:12" ht="108" x14ac:dyDescent="0.35">
      <c r="A1" s="26" t="s">
        <v>91</v>
      </c>
      <c r="B1" s="26" t="s">
        <v>92</v>
      </c>
      <c r="C1" s="26" t="s">
        <v>93</v>
      </c>
      <c r="D1" s="26" t="s">
        <v>94</v>
      </c>
      <c r="E1" s="26" t="s">
        <v>95</v>
      </c>
      <c r="F1" s="26" t="s">
        <v>96</v>
      </c>
      <c r="G1" s="26" t="s">
        <v>97</v>
      </c>
      <c r="H1" s="26" t="s">
        <v>301</v>
      </c>
      <c r="I1" s="26" t="s">
        <v>302</v>
      </c>
      <c r="J1" s="26" t="s">
        <v>303</v>
      </c>
      <c r="K1" s="26" t="s">
        <v>98</v>
      </c>
      <c r="L1" s="26"/>
    </row>
    <row r="2" spans="1:12" ht="15.6" x14ac:dyDescent="0.3">
      <c r="A2" s="18" t="s">
        <v>99</v>
      </c>
      <c r="B2" s="18" t="s">
        <v>100</v>
      </c>
      <c r="C2" s="18" t="s">
        <v>101</v>
      </c>
      <c r="D2" s="18" t="s">
        <v>102</v>
      </c>
      <c r="E2" s="27">
        <v>32943</v>
      </c>
      <c r="F2" s="27">
        <v>40177</v>
      </c>
      <c r="G2" s="27">
        <f>F2-E2</f>
        <v>7234</v>
      </c>
      <c r="H2" s="28">
        <f>IF(F2&gt;50000,G2*0.2,G2*0.1)</f>
        <v>723.40000000000009</v>
      </c>
      <c r="I2" s="18" t="s">
        <v>39</v>
      </c>
      <c r="J2" s="18" t="s">
        <v>40</v>
      </c>
      <c r="K2" s="18" t="s">
        <v>103</v>
      </c>
    </row>
    <row r="3" spans="1:12" ht="15.6" x14ac:dyDescent="0.3">
      <c r="A3" s="18" t="s">
        <v>99</v>
      </c>
      <c r="B3" s="18" t="s">
        <v>105</v>
      </c>
      <c r="C3" s="18" t="s">
        <v>106</v>
      </c>
      <c r="D3" s="18" t="s">
        <v>107</v>
      </c>
      <c r="E3" s="27">
        <v>34747</v>
      </c>
      <c r="F3" s="27">
        <v>42831</v>
      </c>
      <c r="G3" s="27">
        <f t="shared" ref="G3:G66" si="0">F3-E3</f>
        <v>8084</v>
      </c>
      <c r="H3" s="28">
        <f t="shared" ref="H3:H66" si="1">IF(F3&gt;50000,G3*0.2,G3*0.1)</f>
        <v>808.40000000000009</v>
      </c>
      <c r="I3" s="18" t="s">
        <v>41</v>
      </c>
      <c r="J3" s="18" t="s">
        <v>42</v>
      </c>
      <c r="K3" s="18" t="s">
        <v>108</v>
      </c>
    </row>
    <row r="4" spans="1:12" ht="15.6" x14ac:dyDescent="0.3">
      <c r="A4" s="18" t="s">
        <v>99</v>
      </c>
      <c r="B4" s="18" t="s">
        <v>110</v>
      </c>
      <c r="C4" s="18" t="s">
        <v>111</v>
      </c>
      <c r="D4" s="18" t="s">
        <v>112</v>
      </c>
      <c r="E4" s="27">
        <v>33801</v>
      </c>
      <c r="F4" s="27">
        <v>55428</v>
      </c>
      <c r="G4" s="27">
        <f t="shared" si="0"/>
        <v>21627</v>
      </c>
      <c r="H4" s="28">
        <f t="shared" si="1"/>
        <v>4325.4000000000005</v>
      </c>
      <c r="I4" s="18" t="s">
        <v>43</v>
      </c>
      <c r="J4" s="18" t="s">
        <v>44</v>
      </c>
      <c r="K4" s="18" t="s">
        <v>113</v>
      </c>
    </row>
    <row r="5" spans="1:12" ht="15.6" x14ac:dyDescent="0.3">
      <c r="A5" s="18" t="s">
        <v>99</v>
      </c>
      <c r="B5" s="18" t="s">
        <v>115</v>
      </c>
      <c r="C5" s="18" t="s">
        <v>106</v>
      </c>
      <c r="D5" s="18" t="s">
        <v>107</v>
      </c>
      <c r="E5" s="27">
        <v>35632</v>
      </c>
      <c r="F5" s="27">
        <v>54841</v>
      </c>
      <c r="G5" s="27">
        <f t="shared" si="0"/>
        <v>19209</v>
      </c>
      <c r="H5" s="28">
        <f t="shared" si="1"/>
        <v>3841.8</v>
      </c>
      <c r="I5" s="18" t="s">
        <v>45</v>
      </c>
      <c r="J5" s="18" t="s">
        <v>46</v>
      </c>
      <c r="K5" s="18" t="s">
        <v>116</v>
      </c>
    </row>
    <row r="6" spans="1:12" ht="15.6" x14ac:dyDescent="0.3">
      <c r="A6" s="18" t="s">
        <v>99</v>
      </c>
      <c r="B6" s="18" t="s">
        <v>118</v>
      </c>
      <c r="C6" s="18" t="s">
        <v>119</v>
      </c>
      <c r="D6" s="18" t="s">
        <v>120</v>
      </c>
      <c r="E6" s="27">
        <v>45772</v>
      </c>
      <c r="F6" s="27">
        <v>53744</v>
      </c>
      <c r="G6" s="27">
        <f t="shared" si="0"/>
        <v>7972</v>
      </c>
      <c r="H6" s="28">
        <f t="shared" si="1"/>
        <v>1594.4</v>
      </c>
      <c r="I6" s="18" t="s">
        <v>47</v>
      </c>
      <c r="J6" s="18" t="s">
        <v>48</v>
      </c>
      <c r="K6" s="18" t="s">
        <v>121</v>
      </c>
    </row>
    <row r="7" spans="1:12" ht="15.6" x14ac:dyDescent="0.3">
      <c r="A7" s="18" t="s">
        <v>99</v>
      </c>
      <c r="B7" s="18" t="s">
        <v>123</v>
      </c>
      <c r="C7" s="18" t="s">
        <v>124</v>
      </c>
      <c r="D7" s="18" t="s">
        <v>125</v>
      </c>
      <c r="E7" s="27">
        <v>29936</v>
      </c>
      <c r="F7" s="27">
        <v>38568</v>
      </c>
      <c r="G7" s="27">
        <f t="shared" si="0"/>
        <v>8632</v>
      </c>
      <c r="H7" s="28">
        <f t="shared" si="1"/>
        <v>863.2</v>
      </c>
      <c r="I7" s="18" t="s">
        <v>49</v>
      </c>
      <c r="J7" s="18" t="s">
        <v>50</v>
      </c>
      <c r="K7" s="18" t="s">
        <v>126</v>
      </c>
    </row>
    <row r="8" spans="1:12" ht="15.6" x14ac:dyDescent="0.3">
      <c r="A8" s="18" t="s">
        <v>99</v>
      </c>
      <c r="B8" s="18" t="s">
        <v>128</v>
      </c>
      <c r="C8" s="18" t="s">
        <v>129</v>
      </c>
      <c r="D8" s="18" t="s">
        <v>130</v>
      </c>
      <c r="E8" s="27">
        <v>71328</v>
      </c>
      <c r="F8" s="27">
        <v>78355</v>
      </c>
      <c r="G8" s="27">
        <f t="shared" si="0"/>
        <v>7027</v>
      </c>
      <c r="H8" s="28">
        <f t="shared" si="1"/>
        <v>1405.4</v>
      </c>
      <c r="I8" s="18" t="s">
        <v>51</v>
      </c>
      <c r="J8" s="18" t="s">
        <v>52</v>
      </c>
      <c r="K8" s="18" t="s">
        <v>121</v>
      </c>
    </row>
    <row r="9" spans="1:12" ht="15.6" x14ac:dyDescent="0.3">
      <c r="A9" s="18" t="s">
        <v>99</v>
      </c>
      <c r="B9" s="18" t="s">
        <v>132</v>
      </c>
      <c r="C9" s="18" t="s">
        <v>111</v>
      </c>
      <c r="D9" s="18" t="s">
        <v>112</v>
      </c>
      <c r="E9" s="27">
        <v>55996</v>
      </c>
      <c r="F9" s="27">
        <v>62620</v>
      </c>
      <c r="G9" s="27">
        <f t="shared" si="0"/>
        <v>6624</v>
      </c>
      <c r="H9" s="28">
        <f t="shared" si="1"/>
        <v>1324.8000000000002</v>
      </c>
      <c r="I9" s="18" t="s">
        <v>53</v>
      </c>
      <c r="J9" s="18" t="s">
        <v>54</v>
      </c>
      <c r="K9" s="18" t="s">
        <v>113</v>
      </c>
    </row>
    <row r="10" spans="1:12" ht="15.6" x14ac:dyDescent="0.3">
      <c r="A10" s="18" t="s">
        <v>99</v>
      </c>
      <c r="B10" s="18" t="s">
        <v>134</v>
      </c>
      <c r="C10" s="18" t="s">
        <v>106</v>
      </c>
      <c r="D10" s="18" t="s">
        <v>107</v>
      </c>
      <c r="E10" s="27">
        <v>66481</v>
      </c>
      <c r="F10" s="27">
        <v>75844</v>
      </c>
      <c r="G10" s="27">
        <f t="shared" si="0"/>
        <v>9363</v>
      </c>
      <c r="H10" s="28">
        <f t="shared" si="1"/>
        <v>1872.6000000000001</v>
      </c>
      <c r="I10" s="18" t="s">
        <v>55</v>
      </c>
      <c r="J10" s="18" t="s">
        <v>56</v>
      </c>
      <c r="K10" s="18" t="s">
        <v>108</v>
      </c>
    </row>
    <row r="11" spans="1:12" ht="15.6" x14ac:dyDescent="0.3">
      <c r="A11" s="18" t="s">
        <v>99</v>
      </c>
      <c r="B11" s="18" t="s">
        <v>136</v>
      </c>
      <c r="C11" s="18" t="s">
        <v>124</v>
      </c>
      <c r="D11" s="18" t="s">
        <v>125</v>
      </c>
      <c r="E11" s="27">
        <v>39453</v>
      </c>
      <c r="F11" s="27">
        <v>48312</v>
      </c>
      <c r="G11" s="27">
        <f t="shared" si="0"/>
        <v>8859</v>
      </c>
      <c r="H11" s="28">
        <f t="shared" si="1"/>
        <v>885.90000000000009</v>
      </c>
      <c r="I11" s="18" t="s">
        <v>57</v>
      </c>
      <c r="J11" s="18" t="s">
        <v>58</v>
      </c>
      <c r="K11" s="18" t="s">
        <v>121</v>
      </c>
    </row>
    <row r="12" spans="1:12" ht="15.6" x14ac:dyDescent="0.3">
      <c r="A12" s="18" t="s">
        <v>99</v>
      </c>
      <c r="B12" s="18" t="s">
        <v>138</v>
      </c>
      <c r="C12" s="18" t="s">
        <v>139</v>
      </c>
      <c r="D12" s="18" t="s">
        <v>140</v>
      </c>
      <c r="E12" s="27">
        <v>46358</v>
      </c>
      <c r="F12" s="27">
        <v>55944</v>
      </c>
      <c r="G12" s="27">
        <f t="shared" si="0"/>
        <v>9586</v>
      </c>
      <c r="H12" s="28">
        <f t="shared" si="1"/>
        <v>1917.2</v>
      </c>
      <c r="I12" s="18" t="s">
        <v>39</v>
      </c>
      <c r="J12" s="18" t="s">
        <v>40</v>
      </c>
      <c r="K12" s="18" t="s">
        <v>113</v>
      </c>
    </row>
    <row r="13" spans="1:12" ht="15.6" x14ac:dyDescent="0.3">
      <c r="A13" s="18" t="s">
        <v>99</v>
      </c>
      <c r="B13" s="18" t="s">
        <v>142</v>
      </c>
      <c r="C13" s="18" t="s">
        <v>119</v>
      </c>
      <c r="D13" s="18" t="s">
        <v>120</v>
      </c>
      <c r="E13" s="27">
        <v>68115</v>
      </c>
      <c r="F13" s="27">
        <v>79271</v>
      </c>
      <c r="G13" s="27">
        <f t="shared" si="0"/>
        <v>11156</v>
      </c>
      <c r="H13" s="28">
        <f t="shared" si="1"/>
        <v>2231.2000000000003</v>
      </c>
      <c r="I13" s="18" t="s">
        <v>41</v>
      </c>
      <c r="J13" s="18" t="s">
        <v>42</v>
      </c>
      <c r="K13" s="18" t="s">
        <v>108</v>
      </c>
    </row>
    <row r="14" spans="1:12" ht="15.6" x14ac:dyDescent="0.3">
      <c r="A14" s="18" t="s">
        <v>99</v>
      </c>
      <c r="B14" s="18" t="s">
        <v>143</v>
      </c>
      <c r="C14" s="18" t="s">
        <v>119</v>
      </c>
      <c r="D14" s="18" t="s">
        <v>120</v>
      </c>
      <c r="E14" s="27">
        <v>65896</v>
      </c>
      <c r="F14" s="27">
        <v>72953</v>
      </c>
      <c r="G14" s="27">
        <f t="shared" si="0"/>
        <v>7057</v>
      </c>
      <c r="H14" s="28">
        <f t="shared" si="1"/>
        <v>1411.4</v>
      </c>
      <c r="I14" s="18" t="s">
        <v>43</v>
      </c>
      <c r="J14" s="18" t="s">
        <v>44</v>
      </c>
      <c r="K14" s="18" t="s">
        <v>121</v>
      </c>
    </row>
    <row r="15" spans="1:12" ht="15.6" x14ac:dyDescent="0.3">
      <c r="A15" s="18" t="s">
        <v>99</v>
      </c>
      <c r="B15" s="18" t="s">
        <v>144</v>
      </c>
      <c r="C15" s="18" t="s">
        <v>106</v>
      </c>
      <c r="D15" s="18" t="s">
        <v>107</v>
      </c>
      <c r="E15" s="27">
        <v>70567</v>
      </c>
      <c r="F15" s="27">
        <v>82315</v>
      </c>
      <c r="G15" s="27">
        <f t="shared" si="0"/>
        <v>11748</v>
      </c>
      <c r="H15" s="28">
        <f t="shared" si="1"/>
        <v>2349.6</v>
      </c>
      <c r="I15" s="18" t="s">
        <v>45</v>
      </c>
      <c r="J15" s="18" t="s">
        <v>46</v>
      </c>
      <c r="K15" s="18" t="s">
        <v>116</v>
      </c>
    </row>
    <row r="16" spans="1:12" ht="15.6" x14ac:dyDescent="0.3">
      <c r="A16" s="18" t="s">
        <v>104</v>
      </c>
      <c r="B16" s="18" t="s">
        <v>145</v>
      </c>
      <c r="C16" s="18" t="s">
        <v>146</v>
      </c>
      <c r="D16" s="18" t="s">
        <v>147</v>
      </c>
      <c r="E16" s="27">
        <v>64846</v>
      </c>
      <c r="F16" s="27">
        <v>83857</v>
      </c>
      <c r="G16" s="27">
        <f t="shared" si="0"/>
        <v>19011</v>
      </c>
      <c r="H16" s="28">
        <f t="shared" si="1"/>
        <v>3802.2000000000003</v>
      </c>
      <c r="I16" s="18" t="s">
        <v>47</v>
      </c>
      <c r="J16" s="18" t="s">
        <v>48</v>
      </c>
      <c r="K16" s="18" t="s">
        <v>108</v>
      </c>
    </row>
    <row r="17" spans="1:11" ht="15.6" x14ac:dyDescent="0.3">
      <c r="A17" s="18" t="s">
        <v>104</v>
      </c>
      <c r="B17" s="18" t="s">
        <v>148</v>
      </c>
      <c r="C17" s="18" t="s">
        <v>149</v>
      </c>
      <c r="D17" s="18" t="s">
        <v>150</v>
      </c>
      <c r="E17" s="27">
        <v>47187</v>
      </c>
      <c r="F17" s="27">
        <v>54899</v>
      </c>
      <c r="G17" s="27">
        <f t="shared" si="0"/>
        <v>7712</v>
      </c>
      <c r="H17" s="28">
        <f t="shared" si="1"/>
        <v>1542.4</v>
      </c>
      <c r="I17" s="18" t="s">
        <v>49</v>
      </c>
      <c r="J17" s="18" t="s">
        <v>50</v>
      </c>
      <c r="K17" s="18" t="s">
        <v>108</v>
      </c>
    </row>
    <row r="18" spans="1:11" ht="15.6" x14ac:dyDescent="0.3">
      <c r="A18" s="18" t="s">
        <v>104</v>
      </c>
      <c r="B18" s="18" t="s">
        <v>151</v>
      </c>
      <c r="C18" s="18" t="s">
        <v>139</v>
      </c>
      <c r="D18" s="18" t="s">
        <v>140</v>
      </c>
      <c r="E18" s="27">
        <v>46280</v>
      </c>
      <c r="F18" s="27">
        <v>57170</v>
      </c>
      <c r="G18" s="27">
        <f t="shared" si="0"/>
        <v>10890</v>
      </c>
      <c r="H18" s="28">
        <f t="shared" si="1"/>
        <v>2178</v>
      </c>
      <c r="I18" s="18" t="s">
        <v>51</v>
      </c>
      <c r="J18" s="18" t="s">
        <v>52</v>
      </c>
      <c r="K18" s="18" t="s">
        <v>103</v>
      </c>
    </row>
    <row r="19" spans="1:11" ht="15.6" x14ac:dyDescent="0.3">
      <c r="A19" s="18" t="s">
        <v>104</v>
      </c>
      <c r="B19" s="18" t="s">
        <v>152</v>
      </c>
      <c r="C19" s="18" t="s">
        <v>129</v>
      </c>
      <c r="D19" s="18" t="s">
        <v>130</v>
      </c>
      <c r="E19" s="27">
        <v>35364</v>
      </c>
      <c r="F19" s="27">
        <v>50202</v>
      </c>
      <c r="G19" s="27">
        <f t="shared" si="0"/>
        <v>14838</v>
      </c>
      <c r="H19" s="28">
        <f t="shared" si="1"/>
        <v>2967.6000000000004</v>
      </c>
      <c r="I19" s="18" t="s">
        <v>53</v>
      </c>
      <c r="J19" s="18" t="s">
        <v>54</v>
      </c>
      <c r="K19" s="18" t="s">
        <v>121</v>
      </c>
    </row>
    <row r="20" spans="1:11" ht="15.6" x14ac:dyDescent="0.3">
      <c r="A20" s="18" t="s">
        <v>104</v>
      </c>
      <c r="B20" s="18" t="s">
        <v>153</v>
      </c>
      <c r="C20" s="18" t="s">
        <v>149</v>
      </c>
      <c r="D20" s="18" t="s">
        <v>150</v>
      </c>
      <c r="E20" s="27">
        <v>87353</v>
      </c>
      <c r="F20" s="27">
        <v>103608</v>
      </c>
      <c r="G20" s="27">
        <f t="shared" si="0"/>
        <v>16255</v>
      </c>
      <c r="H20" s="28">
        <f t="shared" si="1"/>
        <v>3251</v>
      </c>
      <c r="I20" s="18" t="s">
        <v>55</v>
      </c>
      <c r="J20" s="18" t="s">
        <v>56</v>
      </c>
      <c r="K20" s="18" t="s">
        <v>103</v>
      </c>
    </row>
    <row r="21" spans="1:11" ht="15.6" x14ac:dyDescent="0.3">
      <c r="A21" s="18" t="s">
        <v>104</v>
      </c>
      <c r="B21" s="18" t="s">
        <v>154</v>
      </c>
      <c r="C21" s="18" t="s">
        <v>149</v>
      </c>
      <c r="D21" s="18" t="s">
        <v>150</v>
      </c>
      <c r="E21" s="27">
        <v>48870</v>
      </c>
      <c r="F21" s="27">
        <v>56268</v>
      </c>
      <c r="G21" s="27">
        <f t="shared" si="0"/>
        <v>7398</v>
      </c>
      <c r="H21" s="28">
        <f t="shared" si="1"/>
        <v>1479.6000000000001</v>
      </c>
      <c r="I21" s="18" t="s">
        <v>57</v>
      </c>
      <c r="J21" s="18" t="s">
        <v>58</v>
      </c>
      <c r="K21" s="18" t="s">
        <v>126</v>
      </c>
    </row>
    <row r="22" spans="1:11" ht="15.6" x14ac:dyDescent="0.3">
      <c r="A22" s="18" t="s">
        <v>104</v>
      </c>
      <c r="B22" s="18" t="s">
        <v>155</v>
      </c>
      <c r="C22" s="18" t="s">
        <v>156</v>
      </c>
      <c r="D22" s="18" t="s">
        <v>157</v>
      </c>
      <c r="E22" s="27">
        <v>41701</v>
      </c>
      <c r="F22" s="27">
        <v>47052</v>
      </c>
      <c r="G22" s="27">
        <f t="shared" si="0"/>
        <v>5351</v>
      </c>
      <c r="H22" s="28">
        <f t="shared" si="1"/>
        <v>535.1</v>
      </c>
      <c r="I22" s="18" t="s">
        <v>39</v>
      </c>
      <c r="J22" s="18" t="s">
        <v>40</v>
      </c>
      <c r="K22" s="18" t="s">
        <v>108</v>
      </c>
    </row>
    <row r="23" spans="1:11" ht="15.6" x14ac:dyDescent="0.3">
      <c r="A23" s="18" t="s">
        <v>104</v>
      </c>
      <c r="B23" s="18" t="s">
        <v>158</v>
      </c>
      <c r="C23" s="18" t="s">
        <v>159</v>
      </c>
      <c r="D23" s="18" t="s">
        <v>160</v>
      </c>
      <c r="E23" s="27">
        <v>62044</v>
      </c>
      <c r="F23" s="27">
        <v>80862</v>
      </c>
      <c r="G23" s="27">
        <f t="shared" si="0"/>
        <v>18818</v>
      </c>
      <c r="H23" s="28">
        <f t="shared" si="1"/>
        <v>3763.6000000000004</v>
      </c>
      <c r="I23" s="18" t="s">
        <v>41</v>
      </c>
      <c r="J23" s="18" t="s">
        <v>42</v>
      </c>
      <c r="K23" s="18" t="s">
        <v>126</v>
      </c>
    </row>
    <row r="24" spans="1:11" ht="15.6" x14ac:dyDescent="0.3">
      <c r="A24" s="18" t="s">
        <v>104</v>
      </c>
      <c r="B24" s="18" t="s">
        <v>161</v>
      </c>
      <c r="C24" s="18" t="s">
        <v>146</v>
      </c>
      <c r="D24" s="18" t="s">
        <v>147</v>
      </c>
      <c r="E24" s="27">
        <v>35086</v>
      </c>
      <c r="F24" s="27">
        <v>50366</v>
      </c>
      <c r="G24" s="27">
        <f t="shared" si="0"/>
        <v>15280</v>
      </c>
      <c r="H24" s="28">
        <f t="shared" si="1"/>
        <v>3056</v>
      </c>
      <c r="I24" s="18" t="s">
        <v>43</v>
      </c>
      <c r="J24" s="18" t="s">
        <v>44</v>
      </c>
      <c r="K24" s="18" t="s">
        <v>108</v>
      </c>
    </row>
    <row r="25" spans="1:11" ht="15.6" x14ac:dyDescent="0.3">
      <c r="A25" s="18" t="s">
        <v>104</v>
      </c>
      <c r="B25" s="18" t="s">
        <v>162</v>
      </c>
      <c r="C25" s="18" t="s">
        <v>163</v>
      </c>
      <c r="D25" s="18" t="s">
        <v>164</v>
      </c>
      <c r="E25" s="27">
        <v>52949</v>
      </c>
      <c r="F25" s="27">
        <v>74224</v>
      </c>
      <c r="G25" s="27">
        <f t="shared" si="0"/>
        <v>21275</v>
      </c>
      <c r="H25" s="28">
        <f t="shared" si="1"/>
        <v>4255</v>
      </c>
      <c r="I25" s="18" t="s">
        <v>45</v>
      </c>
      <c r="J25" s="18" t="s">
        <v>46</v>
      </c>
      <c r="K25" s="18" t="s">
        <v>121</v>
      </c>
    </row>
    <row r="26" spans="1:11" ht="15.6" x14ac:dyDescent="0.3">
      <c r="A26" s="18" t="s">
        <v>104</v>
      </c>
      <c r="B26" s="18" t="s">
        <v>165</v>
      </c>
      <c r="C26" s="18" t="s">
        <v>149</v>
      </c>
      <c r="D26" s="18" t="s">
        <v>150</v>
      </c>
      <c r="E26" s="27">
        <v>34506</v>
      </c>
      <c r="F26" s="27">
        <v>42572</v>
      </c>
      <c r="G26" s="27">
        <f t="shared" si="0"/>
        <v>8066</v>
      </c>
      <c r="H26" s="28">
        <f t="shared" si="1"/>
        <v>806.6</v>
      </c>
      <c r="I26" s="18" t="s">
        <v>47</v>
      </c>
      <c r="J26" s="18" t="s">
        <v>48</v>
      </c>
      <c r="K26" s="18" t="s">
        <v>108</v>
      </c>
    </row>
    <row r="27" spans="1:11" ht="15.6" x14ac:dyDescent="0.3">
      <c r="A27" s="18" t="s">
        <v>104</v>
      </c>
      <c r="B27" s="18" t="s">
        <v>166</v>
      </c>
      <c r="C27" s="18" t="s">
        <v>149</v>
      </c>
      <c r="D27" s="18" t="s">
        <v>150</v>
      </c>
      <c r="E27" s="27">
        <v>30129</v>
      </c>
      <c r="F27" s="27">
        <v>34626</v>
      </c>
      <c r="G27" s="27">
        <f t="shared" si="0"/>
        <v>4497</v>
      </c>
      <c r="H27" s="28">
        <f t="shared" si="1"/>
        <v>449.70000000000005</v>
      </c>
      <c r="I27" s="18" t="s">
        <v>49</v>
      </c>
      <c r="J27" s="18" t="s">
        <v>50</v>
      </c>
      <c r="K27" s="18" t="s">
        <v>103</v>
      </c>
    </row>
    <row r="28" spans="1:11" ht="15.6" x14ac:dyDescent="0.3">
      <c r="A28" s="18" t="s">
        <v>104</v>
      </c>
      <c r="B28" s="18" t="s">
        <v>167</v>
      </c>
      <c r="C28" s="18" t="s">
        <v>163</v>
      </c>
      <c r="D28" s="18" t="s">
        <v>164</v>
      </c>
      <c r="E28" s="27">
        <v>50290</v>
      </c>
      <c r="F28" s="27">
        <v>69892</v>
      </c>
      <c r="G28" s="27">
        <f t="shared" si="0"/>
        <v>19602</v>
      </c>
      <c r="H28" s="28">
        <f t="shared" si="1"/>
        <v>3920.4</v>
      </c>
      <c r="I28" s="18" t="s">
        <v>51</v>
      </c>
      <c r="J28" s="18" t="s">
        <v>52</v>
      </c>
      <c r="K28" s="18" t="s">
        <v>108</v>
      </c>
    </row>
    <row r="29" spans="1:11" ht="15.6" x14ac:dyDescent="0.3">
      <c r="A29" s="18" t="s">
        <v>104</v>
      </c>
      <c r="B29" s="18" t="s">
        <v>168</v>
      </c>
      <c r="C29" s="18" t="s">
        <v>163</v>
      </c>
      <c r="D29" s="18" t="s">
        <v>164</v>
      </c>
      <c r="E29" s="27">
        <v>55283</v>
      </c>
      <c r="F29" s="27">
        <v>71653</v>
      </c>
      <c r="G29" s="27">
        <f t="shared" si="0"/>
        <v>16370</v>
      </c>
      <c r="H29" s="28">
        <f t="shared" si="1"/>
        <v>3274</v>
      </c>
      <c r="I29" s="18" t="s">
        <v>53</v>
      </c>
      <c r="J29" s="18" t="s">
        <v>54</v>
      </c>
      <c r="K29" s="18" t="s">
        <v>126</v>
      </c>
    </row>
    <row r="30" spans="1:11" ht="15.6" x14ac:dyDescent="0.3">
      <c r="A30" s="18" t="s">
        <v>109</v>
      </c>
      <c r="B30" s="18" t="s">
        <v>169</v>
      </c>
      <c r="C30" s="18" t="s">
        <v>149</v>
      </c>
      <c r="D30" s="18" t="s">
        <v>150</v>
      </c>
      <c r="E30" s="27">
        <v>53295</v>
      </c>
      <c r="F30" s="27">
        <v>63801</v>
      </c>
      <c r="G30" s="27">
        <f t="shared" si="0"/>
        <v>10506</v>
      </c>
      <c r="H30" s="28">
        <f t="shared" si="1"/>
        <v>2101.2000000000003</v>
      </c>
      <c r="I30" s="18" t="s">
        <v>55</v>
      </c>
      <c r="J30" s="18" t="s">
        <v>56</v>
      </c>
      <c r="K30" s="18" t="s">
        <v>121</v>
      </c>
    </row>
    <row r="31" spans="1:11" ht="15.6" x14ac:dyDescent="0.3">
      <c r="A31" s="18" t="s">
        <v>109</v>
      </c>
      <c r="B31" s="18" t="s">
        <v>170</v>
      </c>
      <c r="C31" s="18" t="s">
        <v>119</v>
      </c>
      <c r="D31" s="18" t="s">
        <v>120</v>
      </c>
      <c r="E31" s="27">
        <v>62354</v>
      </c>
      <c r="F31" s="27">
        <v>69285</v>
      </c>
      <c r="G31" s="27">
        <f t="shared" si="0"/>
        <v>6931</v>
      </c>
      <c r="H31" s="28">
        <f t="shared" si="1"/>
        <v>1386.2</v>
      </c>
      <c r="I31" s="18" t="s">
        <v>57</v>
      </c>
      <c r="J31" s="18" t="s">
        <v>58</v>
      </c>
      <c r="K31" s="18" t="s">
        <v>113</v>
      </c>
    </row>
    <row r="32" spans="1:11" ht="15.6" x14ac:dyDescent="0.3">
      <c r="A32" s="18" t="s">
        <v>109</v>
      </c>
      <c r="B32" s="18" t="s">
        <v>171</v>
      </c>
      <c r="C32" s="18" t="s">
        <v>139</v>
      </c>
      <c r="D32" s="18" t="s">
        <v>140</v>
      </c>
      <c r="E32" s="27">
        <v>32238</v>
      </c>
      <c r="F32" s="27">
        <v>38266</v>
      </c>
      <c r="G32" s="27">
        <f t="shared" si="0"/>
        <v>6028</v>
      </c>
      <c r="H32" s="28">
        <f t="shared" si="1"/>
        <v>602.80000000000007</v>
      </c>
      <c r="I32" s="18" t="s">
        <v>39</v>
      </c>
      <c r="J32" s="18" t="s">
        <v>40</v>
      </c>
      <c r="K32" s="18" t="s">
        <v>116</v>
      </c>
    </row>
    <row r="33" spans="1:11" ht="15.6" x14ac:dyDescent="0.3">
      <c r="A33" s="18" t="s">
        <v>109</v>
      </c>
      <c r="B33" s="18" t="s">
        <v>172</v>
      </c>
      <c r="C33" s="18" t="s">
        <v>124</v>
      </c>
      <c r="D33" s="18" t="s">
        <v>125</v>
      </c>
      <c r="E33" s="27">
        <v>87109</v>
      </c>
      <c r="F33" s="27">
        <v>108378</v>
      </c>
      <c r="G33" s="27">
        <f t="shared" si="0"/>
        <v>21269</v>
      </c>
      <c r="H33" s="28">
        <f t="shared" si="1"/>
        <v>4253.8</v>
      </c>
      <c r="I33" s="18" t="s">
        <v>41</v>
      </c>
      <c r="J33" s="18" t="s">
        <v>42</v>
      </c>
      <c r="K33" s="18" t="s">
        <v>126</v>
      </c>
    </row>
    <row r="34" spans="1:11" ht="15.6" x14ac:dyDescent="0.3">
      <c r="A34" s="18" t="s">
        <v>109</v>
      </c>
      <c r="B34" s="18" t="s">
        <v>173</v>
      </c>
      <c r="C34" s="18" t="s">
        <v>159</v>
      </c>
      <c r="D34" s="18" t="s">
        <v>160</v>
      </c>
      <c r="E34" s="27">
        <v>59437</v>
      </c>
      <c r="F34" s="27">
        <v>77598</v>
      </c>
      <c r="G34" s="27">
        <f t="shared" si="0"/>
        <v>18161</v>
      </c>
      <c r="H34" s="28">
        <f t="shared" si="1"/>
        <v>3632.2000000000003</v>
      </c>
      <c r="I34" s="18" t="s">
        <v>43</v>
      </c>
      <c r="J34" s="18" t="s">
        <v>44</v>
      </c>
      <c r="K34" s="18" t="s">
        <v>121</v>
      </c>
    </row>
    <row r="35" spans="1:11" ht="15.6" x14ac:dyDescent="0.3">
      <c r="A35" s="18" t="s">
        <v>109</v>
      </c>
      <c r="B35" s="18" t="s">
        <v>174</v>
      </c>
      <c r="C35" s="18" t="s">
        <v>139</v>
      </c>
      <c r="D35" s="18" t="s">
        <v>140</v>
      </c>
      <c r="E35" s="27">
        <v>87893</v>
      </c>
      <c r="F35" s="27">
        <v>97379</v>
      </c>
      <c r="G35" s="27">
        <f t="shared" si="0"/>
        <v>9486</v>
      </c>
      <c r="H35" s="28">
        <f t="shared" si="1"/>
        <v>1897.2</v>
      </c>
      <c r="I35" s="18" t="s">
        <v>45</v>
      </c>
      <c r="J35" s="18" t="s">
        <v>46</v>
      </c>
      <c r="K35" s="18" t="s">
        <v>116</v>
      </c>
    </row>
    <row r="36" spans="1:11" ht="15.6" x14ac:dyDescent="0.3">
      <c r="A36" s="18" t="s">
        <v>109</v>
      </c>
      <c r="B36" s="18" t="s">
        <v>175</v>
      </c>
      <c r="C36" s="18" t="s">
        <v>156</v>
      </c>
      <c r="D36" s="18" t="s">
        <v>157</v>
      </c>
      <c r="E36" s="27">
        <v>48246</v>
      </c>
      <c r="F36" s="27">
        <v>66854</v>
      </c>
      <c r="G36" s="27">
        <f t="shared" si="0"/>
        <v>18608</v>
      </c>
      <c r="H36" s="28">
        <f t="shared" si="1"/>
        <v>3721.6000000000004</v>
      </c>
      <c r="I36" s="18" t="s">
        <v>47</v>
      </c>
      <c r="J36" s="18" t="s">
        <v>48</v>
      </c>
      <c r="K36" s="18" t="s">
        <v>108</v>
      </c>
    </row>
    <row r="37" spans="1:11" ht="15.6" x14ac:dyDescent="0.3">
      <c r="A37" s="18" t="s">
        <v>109</v>
      </c>
      <c r="B37" s="18" t="s">
        <v>176</v>
      </c>
      <c r="C37" s="18" t="s">
        <v>146</v>
      </c>
      <c r="D37" s="18" t="s">
        <v>147</v>
      </c>
      <c r="E37" s="27">
        <v>40466</v>
      </c>
      <c r="F37" s="27">
        <v>46356</v>
      </c>
      <c r="G37" s="27">
        <f t="shared" si="0"/>
        <v>5890</v>
      </c>
      <c r="H37" s="28">
        <f t="shared" si="1"/>
        <v>589</v>
      </c>
      <c r="I37" s="18" t="s">
        <v>49</v>
      </c>
      <c r="J37" s="18" t="s">
        <v>50</v>
      </c>
      <c r="K37" s="18" t="s">
        <v>113</v>
      </c>
    </row>
    <row r="38" spans="1:11" ht="15.6" x14ac:dyDescent="0.3">
      <c r="A38" s="18" t="s">
        <v>109</v>
      </c>
      <c r="B38" s="18" t="s">
        <v>177</v>
      </c>
      <c r="C38" s="18" t="s">
        <v>119</v>
      </c>
      <c r="D38" s="18" t="s">
        <v>120</v>
      </c>
      <c r="E38" s="27">
        <v>41548</v>
      </c>
      <c r="F38" s="27">
        <v>51505</v>
      </c>
      <c r="G38" s="27">
        <f t="shared" si="0"/>
        <v>9957</v>
      </c>
      <c r="H38" s="28">
        <f t="shared" si="1"/>
        <v>1991.4</v>
      </c>
      <c r="I38" s="18" t="s">
        <v>51</v>
      </c>
      <c r="J38" s="18" t="s">
        <v>52</v>
      </c>
      <c r="K38" s="18" t="s">
        <v>113</v>
      </c>
    </row>
    <row r="39" spans="1:11" ht="15.6" x14ac:dyDescent="0.3">
      <c r="A39" s="18" t="s">
        <v>109</v>
      </c>
      <c r="B39" s="18" t="s">
        <v>178</v>
      </c>
      <c r="C39" s="18" t="s">
        <v>146</v>
      </c>
      <c r="D39" s="18" t="s">
        <v>147</v>
      </c>
      <c r="E39" s="27">
        <v>45291</v>
      </c>
      <c r="F39" s="27">
        <v>50686</v>
      </c>
      <c r="G39" s="27">
        <f t="shared" si="0"/>
        <v>5395</v>
      </c>
      <c r="H39" s="28">
        <f t="shared" si="1"/>
        <v>1079</v>
      </c>
      <c r="I39" s="18" t="s">
        <v>53</v>
      </c>
      <c r="J39" s="18" t="s">
        <v>54</v>
      </c>
      <c r="K39" s="18" t="s">
        <v>116</v>
      </c>
    </row>
    <row r="40" spans="1:11" ht="15.6" x14ac:dyDescent="0.3">
      <c r="A40" s="18" t="s">
        <v>109</v>
      </c>
      <c r="B40" s="18" t="s">
        <v>179</v>
      </c>
      <c r="C40" s="18" t="s">
        <v>111</v>
      </c>
      <c r="D40" s="18" t="s">
        <v>112</v>
      </c>
      <c r="E40" s="27">
        <v>41950</v>
      </c>
      <c r="F40" s="27">
        <v>55559</v>
      </c>
      <c r="G40" s="27">
        <f t="shared" si="0"/>
        <v>13609</v>
      </c>
      <c r="H40" s="28">
        <f t="shared" si="1"/>
        <v>2721.8</v>
      </c>
      <c r="I40" s="18" t="s">
        <v>55</v>
      </c>
      <c r="J40" s="18" t="s">
        <v>56</v>
      </c>
      <c r="K40" s="18" t="s">
        <v>108</v>
      </c>
    </row>
    <row r="41" spans="1:11" ht="15.6" x14ac:dyDescent="0.3">
      <c r="A41" s="18" t="s">
        <v>109</v>
      </c>
      <c r="B41" s="18" t="s">
        <v>180</v>
      </c>
      <c r="C41" s="18" t="s">
        <v>106</v>
      </c>
      <c r="D41" s="18" t="s">
        <v>107</v>
      </c>
      <c r="E41" s="27">
        <v>39547</v>
      </c>
      <c r="F41" s="27">
        <v>58275</v>
      </c>
      <c r="G41" s="27">
        <f t="shared" si="0"/>
        <v>18728</v>
      </c>
      <c r="H41" s="28">
        <f t="shared" si="1"/>
        <v>3745.6000000000004</v>
      </c>
      <c r="I41" s="18" t="s">
        <v>57</v>
      </c>
      <c r="J41" s="18" t="s">
        <v>58</v>
      </c>
      <c r="K41" s="18" t="s">
        <v>121</v>
      </c>
    </row>
    <row r="42" spans="1:11" ht="15.6" x14ac:dyDescent="0.3">
      <c r="A42" s="18" t="s">
        <v>109</v>
      </c>
      <c r="B42" s="18" t="s">
        <v>181</v>
      </c>
      <c r="C42" s="18" t="s">
        <v>101</v>
      </c>
      <c r="D42" s="18" t="s">
        <v>102</v>
      </c>
      <c r="E42" s="27">
        <v>47982</v>
      </c>
      <c r="F42" s="27">
        <v>56621</v>
      </c>
      <c r="G42" s="27">
        <f t="shared" si="0"/>
        <v>8639</v>
      </c>
      <c r="H42" s="28">
        <f t="shared" si="1"/>
        <v>1727.8000000000002</v>
      </c>
      <c r="I42" s="18" t="s">
        <v>39</v>
      </c>
      <c r="J42" s="18" t="s">
        <v>40</v>
      </c>
      <c r="K42" s="18" t="s">
        <v>108</v>
      </c>
    </row>
    <row r="43" spans="1:11" ht="15.6" x14ac:dyDescent="0.3">
      <c r="A43" s="18" t="s">
        <v>109</v>
      </c>
      <c r="B43" s="18" t="s">
        <v>182</v>
      </c>
      <c r="C43" s="18" t="s">
        <v>159</v>
      </c>
      <c r="D43" s="18" t="s">
        <v>160</v>
      </c>
      <c r="E43" s="27">
        <v>75252</v>
      </c>
      <c r="F43" s="27">
        <v>97143</v>
      </c>
      <c r="G43" s="27">
        <f t="shared" si="0"/>
        <v>21891</v>
      </c>
      <c r="H43" s="28">
        <f t="shared" si="1"/>
        <v>4378.2</v>
      </c>
      <c r="I43" s="18" t="s">
        <v>41</v>
      </c>
      <c r="J43" s="18" t="s">
        <v>42</v>
      </c>
      <c r="K43" s="18" t="s">
        <v>121</v>
      </c>
    </row>
    <row r="44" spans="1:11" ht="15.6" x14ac:dyDescent="0.3">
      <c r="A44" s="18" t="s">
        <v>114</v>
      </c>
      <c r="B44" s="18" t="s">
        <v>183</v>
      </c>
      <c r="C44" s="18" t="s">
        <v>146</v>
      </c>
      <c r="D44" s="18" t="s">
        <v>147</v>
      </c>
      <c r="E44" s="27">
        <v>74315</v>
      </c>
      <c r="F44" s="27">
        <v>81084</v>
      </c>
      <c r="G44" s="27">
        <f t="shared" si="0"/>
        <v>6769</v>
      </c>
      <c r="H44" s="28">
        <f t="shared" si="1"/>
        <v>1353.8000000000002</v>
      </c>
      <c r="I44" s="18" t="s">
        <v>43</v>
      </c>
      <c r="J44" s="18" t="s">
        <v>44</v>
      </c>
      <c r="K44" s="18" t="s">
        <v>116</v>
      </c>
    </row>
    <row r="45" spans="1:11" ht="15.6" x14ac:dyDescent="0.3">
      <c r="A45" s="18" t="s">
        <v>114</v>
      </c>
      <c r="B45" s="18" t="s">
        <v>184</v>
      </c>
      <c r="C45" s="18" t="s">
        <v>146</v>
      </c>
      <c r="D45" s="18" t="s">
        <v>147</v>
      </c>
      <c r="E45" s="27">
        <v>82289</v>
      </c>
      <c r="F45" s="27">
        <v>100146</v>
      </c>
      <c r="G45" s="27">
        <f t="shared" si="0"/>
        <v>17857</v>
      </c>
      <c r="H45" s="28">
        <f t="shared" si="1"/>
        <v>3571.4</v>
      </c>
      <c r="I45" s="18" t="s">
        <v>45</v>
      </c>
      <c r="J45" s="18" t="s">
        <v>46</v>
      </c>
      <c r="K45" s="18" t="s">
        <v>116</v>
      </c>
    </row>
    <row r="46" spans="1:11" ht="15.6" x14ac:dyDescent="0.3">
      <c r="A46" s="18" t="s">
        <v>114</v>
      </c>
      <c r="B46" s="18" t="s">
        <v>185</v>
      </c>
      <c r="C46" s="18" t="s">
        <v>124</v>
      </c>
      <c r="D46" s="18" t="s">
        <v>125</v>
      </c>
      <c r="E46" s="27">
        <v>55829</v>
      </c>
      <c r="F46" s="27">
        <v>64221</v>
      </c>
      <c r="G46" s="27">
        <f t="shared" si="0"/>
        <v>8392</v>
      </c>
      <c r="H46" s="28">
        <f t="shared" si="1"/>
        <v>1678.4</v>
      </c>
      <c r="I46" s="18" t="s">
        <v>47</v>
      </c>
      <c r="J46" s="18" t="s">
        <v>48</v>
      </c>
      <c r="K46" s="18" t="s">
        <v>116</v>
      </c>
    </row>
    <row r="47" spans="1:11" ht="15.6" x14ac:dyDescent="0.3">
      <c r="A47" s="18" t="s">
        <v>114</v>
      </c>
      <c r="B47" s="18" t="s">
        <v>186</v>
      </c>
      <c r="C47" s="18" t="s">
        <v>146</v>
      </c>
      <c r="D47" s="18" t="s">
        <v>147</v>
      </c>
      <c r="E47" s="27">
        <v>41121</v>
      </c>
      <c r="F47" s="27">
        <v>45630</v>
      </c>
      <c r="G47" s="27">
        <f t="shared" si="0"/>
        <v>4509</v>
      </c>
      <c r="H47" s="28">
        <f t="shared" si="1"/>
        <v>450.90000000000003</v>
      </c>
      <c r="I47" s="18" t="s">
        <v>49</v>
      </c>
      <c r="J47" s="18" t="s">
        <v>50</v>
      </c>
      <c r="K47" s="18" t="s">
        <v>113</v>
      </c>
    </row>
    <row r="48" spans="1:11" ht="15.6" x14ac:dyDescent="0.3">
      <c r="A48" s="18" t="s">
        <v>114</v>
      </c>
      <c r="B48" s="18" t="s">
        <v>187</v>
      </c>
      <c r="C48" s="18" t="s">
        <v>119</v>
      </c>
      <c r="D48" s="18" t="s">
        <v>120</v>
      </c>
      <c r="E48" s="27">
        <v>43681</v>
      </c>
      <c r="F48" s="27">
        <v>63119</v>
      </c>
      <c r="G48" s="27">
        <f t="shared" si="0"/>
        <v>19438</v>
      </c>
      <c r="H48" s="28">
        <f t="shared" si="1"/>
        <v>3887.6000000000004</v>
      </c>
      <c r="I48" s="18" t="s">
        <v>51</v>
      </c>
      <c r="J48" s="18" t="s">
        <v>52</v>
      </c>
      <c r="K48" s="18" t="s">
        <v>113</v>
      </c>
    </row>
    <row r="49" spans="1:11" ht="15.6" x14ac:dyDescent="0.3">
      <c r="A49" s="18" t="s">
        <v>114</v>
      </c>
      <c r="B49" s="18" t="s">
        <v>188</v>
      </c>
      <c r="C49" s="18" t="s">
        <v>119</v>
      </c>
      <c r="D49" s="18" t="s">
        <v>120</v>
      </c>
      <c r="E49" s="27">
        <v>52285</v>
      </c>
      <c r="F49" s="27">
        <v>59007</v>
      </c>
      <c r="G49" s="27">
        <f t="shared" si="0"/>
        <v>6722</v>
      </c>
      <c r="H49" s="28">
        <f t="shared" si="1"/>
        <v>1344.4</v>
      </c>
      <c r="I49" s="18" t="s">
        <v>53</v>
      </c>
      <c r="J49" s="18" t="s">
        <v>54</v>
      </c>
      <c r="K49" s="18" t="s">
        <v>126</v>
      </c>
    </row>
    <row r="50" spans="1:11" ht="15.6" x14ac:dyDescent="0.3">
      <c r="A50" s="18" t="s">
        <v>114</v>
      </c>
      <c r="B50" s="18" t="s">
        <v>189</v>
      </c>
      <c r="C50" s="18" t="s">
        <v>106</v>
      </c>
      <c r="D50" s="18" t="s">
        <v>107</v>
      </c>
      <c r="E50" s="27">
        <v>67144</v>
      </c>
      <c r="F50" s="27">
        <v>77100</v>
      </c>
      <c r="G50" s="27">
        <f t="shared" si="0"/>
        <v>9956</v>
      </c>
      <c r="H50" s="28">
        <f t="shared" si="1"/>
        <v>1991.2</v>
      </c>
      <c r="I50" s="18" t="s">
        <v>55</v>
      </c>
      <c r="J50" s="18" t="s">
        <v>56</v>
      </c>
      <c r="K50" s="18" t="s">
        <v>121</v>
      </c>
    </row>
    <row r="51" spans="1:11" ht="15.6" x14ac:dyDescent="0.3">
      <c r="A51" s="18" t="s">
        <v>114</v>
      </c>
      <c r="B51" s="18" t="s">
        <v>190</v>
      </c>
      <c r="C51" s="18" t="s">
        <v>119</v>
      </c>
      <c r="D51" s="18" t="s">
        <v>120</v>
      </c>
      <c r="E51" s="27">
        <v>53829</v>
      </c>
      <c r="F51" s="27">
        <v>59664</v>
      </c>
      <c r="G51" s="27">
        <f t="shared" si="0"/>
        <v>5835</v>
      </c>
      <c r="H51" s="28">
        <f t="shared" si="1"/>
        <v>1167</v>
      </c>
      <c r="I51" s="18" t="s">
        <v>57</v>
      </c>
      <c r="J51" s="18" t="s">
        <v>58</v>
      </c>
      <c r="K51" s="18" t="s">
        <v>126</v>
      </c>
    </row>
    <row r="52" spans="1:11" ht="15.6" x14ac:dyDescent="0.3">
      <c r="A52" s="18" t="s">
        <v>114</v>
      </c>
      <c r="B52" s="18" t="s">
        <v>191</v>
      </c>
      <c r="C52" s="18" t="s">
        <v>129</v>
      </c>
      <c r="D52" s="18" t="s">
        <v>130</v>
      </c>
      <c r="E52" s="27">
        <v>40328</v>
      </c>
      <c r="F52" s="27">
        <v>45544</v>
      </c>
      <c r="G52" s="27">
        <f t="shared" si="0"/>
        <v>5216</v>
      </c>
      <c r="H52" s="28">
        <f t="shared" si="1"/>
        <v>521.6</v>
      </c>
      <c r="I52" s="18" t="s">
        <v>39</v>
      </c>
      <c r="J52" s="18" t="s">
        <v>40</v>
      </c>
      <c r="K52" s="18" t="s">
        <v>103</v>
      </c>
    </row>
    <row r="53" spans="1:11" ht="15.6" x14ac:dyDescent="0.3">
      <c r="A53" s="18" t="s">
        <v>114</v>
      </c>
      <c r="B53" s="18" t="s">
        <v>192</v>
      </c>
      <c r="C53" s="18" t="s">
        <v>139</v>
      </c>
      <c r="D53" s="18" t="s">
        <v>140</v>
      </c>
      <c r="E53" s="27">
        <v>52766</v>
      </c>
      <c r="F53" s="27">
        <v>69698</v>
      </c>
      <c r="G53" s="27">
        <f t="shared" si="0"/>
        <v>16932</v>
      </c>
      <c r="H53" s="28">
        <f t="shared" si="1"/>
        <v>3386.4</v>
      </c>
      <c r="I53" s="18" t="s">
        <v>41</v>
      </c>
      <c r="J53" s="18" t="s">
        <v>42</v>
      </c>
      <c r="K53" s="18" t="s">
        <v>116</v>
      </c>
    </row>
    <row r="54" spans="1:11" ht="15.6" x14ac:dyDescent="0.3">
      <c r="A54" s="18" t="s">
        <v>114</v>
      </c>
      <c r="B54" s="18" t="s">
        <v>193</v>
      </c>
      <c r="C54" s="18" t="s">
        <v>119</v>
      </c>
      <c r="D54" s="18" t="s">
        <v>120</v>
      </c>
      <c r="E54" s="27">
        <v>37559</v>
      </c>
      <c r="F54" s="27">
        <v>58552</v>
      </c>
      <c r="G54" s="27">
        <f t="shared" si="0"/>
        <v>20993</v>
      </c>
      <c r="H54" s="28">
        <f t="shared" si="1"/>
        <v>4198.6000000000004</v>
      </c>
      <c r="I54" s="18" t="s">
        <v>43</v>
      </c>
      <c r="J54" s="18" t="s">
        <v>44</v>
      </c>
      <c r="K54" s="18" t="s">
        <v>116</v>
      </c>
    </row>
    <row r="55" spans="1:11" ht="15.6" x14ac:dyDescent="0.3">
      <c r="A55" s="18" t="s">
        <v>114</v>
      </c>
      <c r="B55" s="18" t="s">
        <v>194</v>
      </c>
      <c r="C55" s="18" t="s">
        <v>149</v>
      </c>
      <c r="D55" s="18" t="s">
        <v>150</v>
      </c>
      <c r="E55" s="27">
        <v>61708</v>
      </c>
      <c r="F55" s="27">
        <v>76926</v>
      </c>
      <c r="G55" s="27">
        <f t="shared" si="0"/>
        <v>15218</v>
      </c>
      <c r="H55" s="28">
        <f t="shared" si="1"/>
        <v>3043.6000000000004</v>
      </c>
      <c r="I55" s="18" t="s">
        <v>45</v>
      </c>
      <c r="J55" s="18" t="s">
        <v>46</v>
      </c>
      <c r="K55" s="18" t="s">
        <v>126</v>
      </c>
    </row>
    <row r="56" spans="1:11" ht="15.6" x14ac:dyDescent="0.3">
      <c r="A56" s="18" t="s">
        <v>114</v>
      </c>
      <c r="B56" s="18" t="s">
        <v>195</v>
      </c>
      <c r="C56" s="18" t="s">
        <v>159</v>
      </c>
      <c r="D56" s="18" t="s">
        <v>160</v>
      </c>
      <c r="E56" s="27">
        <v>36696</v>
      </c>
      <c r="F56" s="27">
        <v>52923</v>
      </c>
      <c r="G56" s="27">
        <f t="shared" si="0"/>
        <v>16227</v>
      </c>
      <c r="H56" s="28">
        <f t="shared" si="1"/>
        <v>3245.4</v>
      </c>
      <c r="I56" s="18" t="s">
        <v>47</v>
      </c>
      <c r="J56" s="18" t="s">
        <v>48</v>
      </c>
      <c r="K56" s="18" t="s">
        <v>103</v>
      </c>
    </row>
    <row r="57" spans="1:11" ht="15.6" x14ac:dyDescent="0.3">
      <c r="A57" s="18" t="s">
        <v>114</v>
      </c>
      <c r="B57" s="18" t="s">
        <v>196</v>
      </c>
      <c r="C57" s="18" t="s">
        <v>139</v>
      </c>
      <c r="D57" s="18" t="s">
        <v>140</v>
      </c>
      <c r="E57" s="27">
        <v>43683</v>
      </c>
      <c r="F57" s="27">
        <v>53352</v>
      </c>
      <c r="G57" s="27">
        <f t="shared" si="0"/>
        <v>9669</v>
      </c>
      <c r="H57" s="28">
        <f t="shared" si="1"/>
        <v>1933.8000000000002</v>
      </c>
      <c r="I57" s="18" t="s">
        <v>49</v>
      </c>
      <c r="J57" s="18" t="s">
        <v>50</v>
      </c>
      <c r="K57" s="18" t="s">
        <v>113</v>
      </c>
    </row>
    <row r="58" spans="1:11" ht="15.6" x14ac:dyDescent="0.3">
      <c r="A58" s="18" t="s">
        <v>117</v>
      </c>
      <c r="B58" s="18" t="s">
        <v>197</v>
      </c>
      <c r="C58" s="18" t="s">
        <v>156</v>
      </c>
      <c r="D58" s="18" t="s">
        <v>157</v>
      </c>
      <c r="E58" s="27">
        <v>31513</v>
      </c>
      <c r="F58" s="27">
        <v>43237</v>
      </c>
      <c r="G58" s="27">
        <f t="shared" si="0"/>
        <v>11724</v>
      </c>
      <c r="H58" s="28">
        <f t="shared" si="1"/>
        <v>1172.4000000000001</v>
      </c>
      <c r="I58" s="18" t="s">
        <v>51</v>
      </c>
      <c r="J58" s="18" t="s">
        <v>52</v>
      </c>
      <c r="K58" s="18" t="s">
        <v>121</v>
      </c>
    </row>
    <row r="59" spans="1:11" ht="15.6" x14ac:dyDescent="0.3">
      <c r="A59" s="18" t="s">
        <v>117</v>
      </c>
      <c r="B59" s="18" t="s">
        <v>198</v>
      </c>
      <c r="C59" s="18" t="s">
        <v>101</v>
      </c>
      <c r="D59" s="18" t="s">
        <v>102</v>
      </c>
      <c r="E59" s="27">
        <v>39607</v>
      </c>
      <c r="F59" s="27">
        <v>45493</v>
      </c>
      <c r="G59" s="27">
        <f t="shared" si="0"/>
        <v>5886</v>
      </c>
      <c r="H59" s="28">
        <f t="shared" si="1"/>
        <v>588.6</v>
      </c>
      <c r="I59" s="18" t="s">
        <v>53</v>
      </c>
      <c r="J59" s="18" t="s">
        <v>54</v>
      </c>
      <c r="K59" s="18" t="s">
        <v>121</v>
      </c>
    </row>
    <row r="60" spans="1:11" ht="15.6" x14ac:dyDescent="0.3">
      <c r="A60" s="18" t="s">
        <v>117</v>
      </c>
      <c r="B60" s="18" t="s">
        <v>199</v>
      </c>
      <c r="C60" s="18" t="s">
        <v>139</v>
      </c>
      <c r="D60" s="18" t="s">
        <v>140</v>
      </c>
      <c r="E60" s="27">
        <v>72134</v>
      </c>
      <c r="F60" s="27">
        <v>80116</v>
      </c>
      <c r="G60" s="27">
        <f t="shared" si="0"/>
        <v>7982</v>
      </c>
      <c r="H60" s="28">
        <f t="shared" si="1"/>
        <v>1596.4</v>
      </c>
      <c r="I60" s="18" t="s">
        <v>55</v>
      </c>
      <c r="J60" s="18" t="s">
        <v>56</v>
      </c>
      <c r="K60" s="18" t="s">
        <v>103</v>
      </c>
    </row>
    <row r="61" spans="1:11" ht="15.6" x14ac:dyDescent="0.3">
      <c r="A61" s="18" t="s">
        <v>117</v>
      </c>
      <c r="B61" s="18" t="s">
        <v>200</v>
      </c>
      <c r="C61" s="18" t="s">
        <v>139</v>
      </c>
      <c r="D61" s="18" t="s">
        <v>140</v>
      </c>
      <c r="E61" s="27">
        <v>63973</v>
      </c>
      <c r="F61" s="27">
        <v>80989</v>
      </c>
      <c r="G61" s="27">
        <f t="shared" si="0"/>
        <v>17016</v>
      </c>
      <c r="H61" s="28">
        <f t="shared" si="1"/>
        <v>3403.2000000000003</v>
      </c>
      <c r="I61" s="18" t="s">
        <v>57</v>
      </c>
      <c r="J61" s="18" t="s">
        <v>58</v>
      </c>
      <c r="K61" s="18" t="s">
        <v>113</v>
      </c>
    </row>
    <row r="62" spans="1:11" ht="15.6" x14ac:dyDescent="0.3">
      <c r="A62" s="18" t="s">
        <v>117</v>
      </c>
      <c r="B62" s="18" t="s">
        <v>201</v>
      </c>
      <c r="C62" s="18" t="s">
        <v>101</v>
      </c>
      <c r="D62" s="18" t="s">
        <v>102</v>
      </c>
      <c r="E62" s="27">
        <v>35300</v>
      </c>
      <c r="F62" s="27">
        <v>43662</v>
      </c>
      <c r="G62" s="27">
        <f t="shared" si="0"/>
        <v>8362</v>
      </c>
      <c r="H62" s="28">
        <f t="shared" si="1"/>
        <v>836.2</v>
      </c>
      <c r="I62" s="18" t="s">
        <v>39</v>
      </c>
      <c r="J62" s="18" t="s">
        <v>40</v>
      </c>
      <c r="K62" s="18" t="s">
        <v>121</v>
      </c>
    </row>
    <row r="63" spans="1:11" ht="15.6" x14ac:dyDescent="0.3">
      <c r="A63" s="18" t="s">
        <v>117</v>
      </c>
      <c r="B63" s="18" t="s">
        <v>202</v>
      </c>
      <c r="C63" s="18" t="s">
        <v>156</v>
      </c>
      <c r="D63" s="18" t="s">
        <v>157</v>
      </c>
      <c r="E63" s="27">
        <v>51604</v>
      </c>
      <c r="F63" s="27">
        <v>63912</v>
      </c>
      <c r="G63" s="27">
        <f t="shared" si="0"/>
        <v>12308</v>
      </c>
      <c r="H63" s="28">
        <f t="shared" si="1"/>
        <v>2461.6000000000004</v>
      </c>
      <c r="I63" s="18" t="s">
        <v>41</v>
      </c>
      <c r="J63" s="18" t="s">
        <v>42</v>
      </c>
      <c r="K63" s="18" t="s">
        <v>121</v>
      </c>
    </row>
    <row r="64" spans="1:11" ht="15.6" x14ac:dyDescent="0.3">
      <c r="A64" s="18" t="s">
        <v>117</v>
      </c>
      <c r="B64" s="18" t="s">
        <v>203</v>
      </c>
      <c r="C64" s="18" t="s">
        <v>129</v>
      </c>
      <c r="D64" s="18" t="s">
        <v>130</v>
      </c>
      <c r="E64" s="27">
        <v>82827</v>
      </c>
      <c r="F64" s="27">
        <v>95671</v>
      </c>
      <c r="G64" s="27">
        <f t="shared" si="0"/>
        <v>12844</v>
      </c>
      <c r="H64" s="28">
        <f t="shared" si="1"/>
        <v>2568.8000000000002</v>
      </c>
      <c r="I64" s="18" t="s">
        <v>43</v>
      </c>
      <c r="J64" s="18" t="s">
        <v>44</v>
      </c>
      <c r="K64" s="18" t="s">
        <v>116</v>
      </c>
    </row>
    <row r="65" spans="1:11" ht="15.6" x14ac:dyDescent="0.3">
      <c r="A65" s="18" t="s">
        <v>117</v>
      </c>
      <c r="B65" s="18" t="s">
        <v>204</v>
      </c>
      <c r="C65" s="18" t="s">
        <v>163</v>
      </c>
      <c r="D65" s="18" t="s">
        <v>164</v>
      </c>
      <c r="E65" s="27">
        <v>82646</v>
      </c>
      <c r="F65" s="27">
        <v>95075</v>
      </c>
      <c r="G65" s="27">
        <f t="shared" si="0"/>
        <v>12429</v>
      </c>
      <c r="H65" s="28">
        <f t="shared" si="1"/>
        <v>2485.8000000000002</v>
      </c>
      <c r="I65" s="18" t="s">
        <v>45</v>
      </c>
      <c r="J65" s="18" t="s">
        <v>46</v>
      </c>
      <c r="K65" s="18" t="s">
        <v>113</v>
      </c>
    </row>
    <row r="66" spans="1:11" ht="15.6" x14ac:dyDescent="0.3">
      <c r="A66" s="18" t="s">
        <v>117</v>
      </c>
      <c r="B66" s="18" t="s">
        <v>205</v>
      </c>
      <c r="C66" s="18" t="s">
        <v>156</v>
      </c>
      <c r="D66" s="18" t="s">
        <v>157</v>
      </c>
      <c r="E66" s="27">
        <v>62294</v>
      </c>
      <c r="F66" s="27">
        <v>78945</v>
      </c>
      <c r="G66" s="27">
        <f t="shared" si="0"/>
        <v>16651</v>
      </c>
      <c r="H66" s="28">
        <f t="shared" si="1"/>
        <v>3330.2000000000003</v>
      </c>
      <c r="I66" s="18" t="s">
        <v>47</v>
      </c>
      <c r="J66" s="18" t="s">
        <v>48</v>
      </c>
      <c r="K66" s="18" t="s">
        <v>103</v>
      </c>
    </row>
    <row r="67" spans="1:11" ht="15.6" x14ac:dyDescent="0.3">
      <c r="A67" s="18" t="s">
        <v>117</v>
      </c>
      <c r="B67" s="18" t="s">
        <v>206</v>
      </c>
      <c r="C67" s="18" t="s">
        <v>106</v>
      </c>
      <c r="D67" s="18" t="s">
        <v>107</v>
      </c>
      <c r="E67" s="27">
        <v>28915</v>
      </c>
      <c r="F67" s="27">
        <v>35203</v>
      </c>
      <c r="G67" s="27">
        <f t="shared" ref="G67:G130" si="2">F67-E67</f>
        <v>6288</v>
      </c>
      <c r="H67" s="28">
        <f t="shared" ref="H67:H130" si="3">IF(F67&gt;50000,G67*0.2,G67*0.1)</f>
        <v>628.80000000000007</v>
      </c>
      <c r="I67" s="18" t="s">
        <v>49</v>
      </c>
      <c r="J67" s="18" t="s">
        <v>50</v>
      </c>
      <c r="K67" s="18" t="s">
        <v>116</v>
      </c>
    </row>
    <row r="68" spans="1:11" ht="15.6" x14ac:dyDescent="0.3">
      <c r="A68" s="18" t="s">
        <v>117</v>
      </c>
      <c r="B68" s="18" t="s">
        <v>207</v>
      </c>
      <c r="C68" s="18" t="s">
        <v>139</v>
      </c>
      <c r="D68" s="18" t="s">
        <v>140</v>
      </c>
      <c r="E68" s="27">
        <v>42690</v>
      </c>
      <c r="F68" s="27">
        <v>58971</v>
      </c>
      <c r="G68" s="27">
        <f t="shared" si="2"/>
        <v>16281</v>
      </c>
      <c r="H68" s="28">
        <f t="shared" si="3"/>
        <v>3256.2000000000003</v>
      </c>
      <c r="I68" s="18" t="s">
        <v>51</v>
      </c>
      <c r="J68" s="18" t="s">
        <v>52</v>
      </c>
      <c r="K68" s="18" t="s">
        <v>116</v>
      </c>
    </row>
    <row r="69" spans="1:11" ht="15.6" x14ac:dyDescent="0.3">
      <c r="A69" s="18" t="s">
        <v>117</v>
      </c>
      <c r="B69" s="18" t="s">
        <v>208</v>
      </c>
      <c r="C69" s="18" t="s">
        <v>163</v>
      </c>
      <c r="D69" s="18" t="s">
        <v>164</v>
      </c>
      <c r="E69" s="27">
        <v>52906</v>
      </c>
      <c r="F69" s="27">
        <v>69854</v>
      </c>
      <c r="G69" s="27">
        <f t="shared" si="2"/>
        <v>16948</v>
      </c>
      <c r="H69" s="28">
        <f t="shared" si="3"/>
        <v>3389.6000000000004</v>
      </c>
      <c r="I69" s="18" t="s">
        <v>53</v>
      </c>
      <c r="J69" s="18" t="s">
        <v>54</v>
      </c>
      <c r="K69" s="18" t="s">
        <v>126</v>
      </c>
    </row>
    <row r="70" spans="1:11" ht="15.6" x14ac:dyDescent="0.3">
      <c r="A70" s="18" t="s">
        <v>117</v>
      </c>
      <c r="B70" s="18" t="s">
        <v>209</v>
      </c>
      <c r="C70" s="18" t="s">
        <v>129</v>
      </c>
      <c r="D70" s="18" t="s">
        <v>130</v>
      </c>
      <c r="E70" s="27">
        <v>36694</v>
      </c>
      <c r="F70" s="27">
        <v>49127</v>
      </c>
      <c r="G70" s="27">
        <f t="shared" si="2"/>
        <v>12433</v>
      </c>
      <c r="H70" s="28">
        <f t="shared" si="3"/>
        <v>1243.3000000000002</v>
      </c>
      <c r="I70" s="18" t="s">
        <v>55</v>
      </c>
      <c r="J70" s="18" t="s">
        <v>56</v>
      </c>
      <c r="K70" s="18" t="s">
        <v>116</v>
      </c>
    </row>
    <row r="71" spans="1:11" ht="15.6" x14ac:dyDescent="0.3">
      <c r="A71" s="18" t="s">
        <v>122</v>
      </c>
      <c r="B71" s="18" t="s">
        <v>210</v>
      </c>
      <c r="C71" s="18" t="s">
        <v>129</v>
      </c>
      <c r="D71" s="18" t="s">
        <v>130</v>
      </c>
      <c r="E71" s="27">
        <v>52133</v>
      </c>
      <c r="F71" s="27">
        <v>63829</v>
      </c>
      <c r="G71" s="27">
        <f t="shared" si="2"/>
        <v>11696</v>
      </c>
      <c r="H71" s="28">
        <f t="shared" si="3"/>
        <v>2339.2000000000003</v>
      </c>
      <c r="I71" s="18" t="s">
        <v>57</v>
      </c>
      <c r="J71" s="18" t="s">
        <v>58</v>
      </c>
      <c r="K71" s="18" t="s">
        <v>116</v>
      </c>
    </row>
    <row r="72" spans="1:11" ht="15.6" x14ac:dyDescent="0.3">
      <c r="A72" s="18" t="s">
        <v>122</v>
      </c>
      <c r="B72" s="18" t="s">
        <v>211</v>
      </c>
      <c r="C72" s="18" t="s">
        <v>111</v>
      </c>
      <c r="D72" s="18" t="s">
        <v>112</v>
      </c>
      <c r="E72" s="27">
        <v>47997</v>
      </c>
      <c r="F72" s="27">
        <v>52012</v>
      </c>
      <c r="G72" s="27">
        <f t="shared" si="2"/>
        <v>4015</v>
      </c>
      <c r="H72" s="28">
        <f t="shared" si="3"/>
        <v>803</v>
      </c>
      <c r="I72" s="18" t="s">
        <v>39</v>
      </c>
      <c r="J72" s="18" t="s">
        <v>40</v>
      </c>
      <c r="K72" s="18" t="s">
        <v>116</v>
      </c>
    </row>
    <row r="73" spans="1:11" ht="15.6" x14ac:dyDescent="0.3">
      <c r="A73" s="18" t="s">
        <v>122</v>
      </c>
      <c r="B73" s="18" t="s">
        <v>212</v>
      </c>
      <c r="C73" s="18" t="s">
        <v>146</v>
      </c>
      <c r="D73" s="18" t="s">
        <v>147</v>
      </c>
      <c r="E73" s="27">
        <v>52544</v>
      </c>
      <c r="F73" s="27">
        <v>60322</v>
      </c>
      <c r="G73" s="27">
        <f t="shared" si="2"/>
        <v>7778</v>
      </c>
      <c r="H73" s="28">
        <f t="shared" si="3"/>
        <v>1555.6000000000001</v>
      </c>
      <c r="I73" s="18" t="s">
        <v>41</v>
      </c>
      <c r="J73" s="18" t="s">
        <v>42</v>
      </c>
      <c r="K73" s="18" t="s">
        <v>103</v>
      </c>
    </row>
    <row r="74" spans="1:11" ht="15.6" x14ac:dyDescent="0.3">
      <c r="A74" s="18" t="s">
        <v>122</v>
      </c>
      <c r="B74" s="18" t="s">
        <v>213</v>
      </c>
      <c r="C74" s="18" t="s">
        <v>119</v>
      </c>
      <c r="D74" s="18" t="s">
        <v>120</v>
      </c>
      <c r="E74" s="27">
        <v>89623</v>
      </c>
      <c r="F74" s="27">
        <v>107354</v>
      </c>
      <c r="G74" s="27">
        <f t="shared" si="2"/>
        <v>17731</v>
      </c>
      <c r="H74" s="28">
        <f t="shared" si="3"/>
        <v>3546.2000000000003</v>
      </c>
      <c r="I74" s="18" t="s">
        <v>43</v>
      </c>
      <c r="J74" s="18" t="s">
        <v>44</v>
      </c>
      <c r="K74" s="18" t="s">
        <v>103</v>
      </c>
    </row>
    <row r="75" spans="1:11" ht="15.6" x14ac:dyDescent="0.3">
      <c r="A75" s="18" t="s">
        <v>122</v>
      </c>
      <c r="B75" s="18" t="s">
        <v>214</v>
      </c>
      <c r="C75" s="18" t="s">
        <v>129</v>
      </c>
      <c r="D75" s="18" t="s">
        <v>130</v>
      </c>
      <c r="E75" s="27">
        <v>61328</v>
      </c>
      <c r="F75" s="27">
        <v>72177</v>
      </c>
      <c r="G75" s="27">
        <f t="shared" si="2"/>
        <v>10849</v>
      </c>
      <c r="H75" s="28">
        <f t="shared" si="3"/>
        <v>2169.8000000000002</v>
      </c>
      <c r="I75" s="18" t="s">
        <v>45</v>
      </c>
      <c r="J75" s="18" t="s">
        <v>46</v>
      </c>
      <c r="K75" s="18" t="s">
        <v>116</v>
      </c>
    </row>
    <row r="76" spans="1:11" ht="15.6" x14ac:dyDescent="0.3">
      <c r="A76" s="18" t="s">
        <v>122</v>
      </c>
      <c r="B76" s="18" t="s">
        <v>215</v>
      </c>
      <c r="C76" s="18" t="s">
        <v>146</v>
      </c>
      <c r="D76" s="18" t="s">
        <v>147</v>
      </c>
      <c r="E76" s="27">
        <v>51791</v>
      </c>
      <c r="F76" s="27">
        <v>59633</v>
      </c>
      <c r="G76" s="27">
        <f t="shared" si="2"/>
        <v>7842</v>
      </c>
      <c r="H76" s="28">
        <f t="shared" si="3"/>
        <v>1568.4</v>
      </c>
      <c r="I76" s="18" t="s">
        <v>47</v>
      </c>
      <c r="J76" s="18" t="s">
        <v>48</v>
      </c>
      <c r="K76" s="18" t="s">
        <v>103</v>
      </c>
    </row>
    <row r="77" spans="1:11" ht="15.6" x14ac:dyDescent="0.3">
      <c r="A77" s="18" t="s">
        <v>122</v>
      </c>
      <c r="B77" s="18" t="s">
        <v>216</v>
      </c>
      <c r="C77" s="18" t="s">
        <v>124</v>
      </c>
      <c r="D77" s="18" t="s">
        <v>125</v>
      </c>
      <c r="E77" s="27">
        <v>43176</v>
      </c>
      <c r="F77" s="27">
        <v>50464</v>
      </c>
      <c r="G77" s="27">
        <f t="shared" si="2"/>
        <v>7288</v>
      </c>
      <c r="H77" s="28">
        <f t="shared" si="3"/>
        <v>1457.6000000000001</v>
      </c>
      <c r="I77" s="18" t="s">
        <v>49</v>
      </c>
      <c r="J77" s="18" t="s">
        <v>50</v>
      </c>
      <c r="K77" s="18" t="s">
        <v>103</v>
      </c>
    </row>
    <row r="78" spans="1:11" ht="15.6" x14ac:dyDescent="0.3">
      <c r="A78" s="18" t="s">
        <v>122</v>
      </c>
      <c r="B78" s="18" t="s">
        <v>217</v>
      </c>
      <c r="C78" s="18" t="s">
        <v>119</v>
      </c>
      <c r="D78" s="18" t="s">
        <v>120</v>
      </c>
      <c r="E78" s="27">
        <v>77500</v>
      </c>
      <c r="F78" s="27">
        <v>87705</v>
      </c>
      <c r="G78" s="27">
        <f t="shared" si="2"/>
        <v>10205</v>
      </c>
      <c r="H78" s="28">
        <f t="shared" si="3"/>
        <v>2041</v>
      </c>
      <c r="I78" s="18" t="s">
        <v>51</v>
      </c>
      <c r="J78" s="18" t="s">
        <v>52</v>
      </c>
      <c r="K78" s="18" t="s">
        <v>113</v>
      </c>
    </row>
    <row r="79" spans="1:11" ht="15.6" x14ac:dyDescent="0.3">
      <c r="A79" s="18" t="s">
        <v>122</v>
      </c>
      <c r="B79" s="18" t="s">
        <v>218</v>
      </c>
      <c r="C79" s="18" t="s">
        <v>159</v>
      </c>
      <c r="D79" s="18" t="s">
        <v>160</v>
      </c>
      <c r="E79" s="27">
        <v>31805</v>
      </c>
      <c r="F79" s="27">
        <v>41757</v>
      </c>
      <c r="G79" s="27">
        <f t="shared" si="2"/>
        <v>9952</v>
      </c>
      <c r="H79" s="28">
        <f t="shared" si="3"/>
        <v>995.2</v>
      </c>
      <c r="I79" s="18" t="s">
        <v>53</v>
      </c>
      <c r="J79" s="18" t="s">
        <v>54</v>
      </c>
      <c r="K79" s="18" t="s">
        <v>121</v>
      </c>
    </row>
    <row r="80" spans="1:11" ht="15.6" x14ac:dyDescent="0.3">
      <c r="A80" s="18" t="s">
        <v>122</v>
      </c>
      <c r="B80" s="18" t="s">
        <v>219</v>
      </c>
      <c r="C80" s="18" t="s">
        <v>149</v>
      </c>
      <c r="D80" s="18" t="s">
        <v>150</v>
      </c>
      <c r="E80" s="27">
        <v>82854</v>
      </c>
      <c r="F80" s="27">
        <v>92643</v>
      </c>
      <c r="G80" s="27">
        <f t="shared" si="2"/>
        <v>9789</v>
      </c>
      <c r="H80" s="28">
        <f t="shared" si="3"/>
        <v>1957.8000000000002</v>
      </c>
      <c r="I80" s="18" t="s">
        <v>55</v>
      </c>
      <c r="J80" s="18" t="s">
        <v>56</v>
      </c>
      <c r="K80" s="18" t="s">
        <v>121</v>
      </c>
    </row>
    <row r="81" spans="1:11" ht="15.6" x14ac:dyDescent="0.3">
      <c r="A81" s="18" t="s">
        <v>122</v>
      </c>
      <c r="B81" s="18" t="s">
        <v>220</v>
      </c>
      <c r="C81" s="18" t="s">
        <v>111</v>
      </c>
      <c r="D81" s="18" t="s">
        <v>112</v>
      </c>
      <c r="E81" s="27">
        <v>61087</v>
      </c>
      <c r="F81" s="27">
        <v>77569</v>
      </c>
      <c r="G81" s="27">
        <f t="shared" si="2"/>
        <v>16482</v>
      </c>
      <c r="H81" s="28">
        <f t="shared" si="3"/>
        <v>3296.4</v>
      </c>
      <c r="I81" s="18" t="s">
        <v>57</v>
      </c>
      <c r="J81" s="18" t="s">
        <v>58</v>
      </c>
      <c r="K81" s="18" t="s">
        <v>113</v>
      </c>
    </row>
    <row r="82" spans="1:11" ht="15.6" x14ac:dyDescent="0.3">
      <c r="A82" s="18" t="s">
        <v>122</v>
      </c>
      <c r="B82" s="18" t="s">
        <v>221</v>
      </c>
      <c r="C82" s="18" t="s">
        <v>156</v>
      </c>
      <c r="D82" s="18" t="s">
        <v>157</v>
      </c>
      <c r="E82" s="27">
        <v>45966</v>
      </c>
      <c r="F82" s="27">
        <v>51039</v>
      </c>
      <c r="G82" s="27">
        <f t="shared" si="2"/>
        <v>5073</v>
      </c>
      <c r="H82" s="28">
        <f t="shared" si="3"/>
        <v>1014.6</v>
      </c>
      <c r="I82" s="18" t="s">
        <v>39</v>
      </c>
      <c r="J82" s="18" t="s">
        <v>40</v>
      </c>
      <c r="K82" s="18" t="s">
        <v>126</v>
      </c>
    </row>
    <row r="83" spans="1:11" ht="15.6" x14ac:dyDescent="0.3">
      <c r="A83" s="18" t="s">
        <v>122</v>
      </c>
      <c r="B83" s="18" t="s">
        <v>222</v>
      </c>
      <c r="C83" s="18" t="s">
        <v>106</v>
      </c>
      <c r="D83" s="18" t="s">
        <v>107</v>
      </c>
      <c r="E83" s="27">
        <v>82386</v>
      </c>
      <c r="F83" s="27">
        <v>90753</v>
      </c>
      <c r="G83" s="27">
        <f t="shared" si="2"/>
        <v>8367</v>
      </c>
      <c r="H83" s="28">
        <f t="shared" si="3"/>
        <v>1673.4</v>
      </c>
      <c r="I83" s="18" t="s">
        <v>41</v>
      </c>
      <c r="J83" s="18" t="s">
        <v>42</v>
      </c>
      <c r="K83" s="18" t="s">
        <v>121</v>
      </c>
    </row>
    <row r="84" spans="1:11" ht="15.6" x14ac:dyDescent="0.3">
      <c r="A84" s="18" t="s">
        <v>127</v>
      </c>
      <c r="B84" s="18" t="s">
        <v>223</v>
      </c>
      <c r="C84" s="18" t="s">
        <v>163</v>
      </c>
      <c r="D84" s="18" t="s">
        <v>164</v>
      </c>
      <c r="E84" s="27">
        <v>39125</v>
      </c>
      <c r="F84" s="27">
        <v>58340</v>
      </c>
      <c r="G84" s="27">
        <f t="shared" si="2"/>
        <v>19215</v>
      </c>
      <c r="H84" s="28">
        <f t="shared" si="3"/>
        <v>3843</v>
      </c>
      <c r="I84" s="18" t="s">
        <v>43</v>
      </c>
      <c r="J84" s="18" t="s">
        <v>44</v>
      </c>
      <c r="K84" s="18" t="s">
        <v>113</v>
      </c>
    </row>
    <row r="85" spans="1:11" ht="15.6" x14ac:dyDescent="0.3">
      <c r="A85" s="18" t="s">
        <v>127</v>
      </c>
      <c r="B85" s="18" t="s">
        <v>224</v>
      </c>
      <c r="C85" s="18" t="s">
        <v>129</v>
      </c>
      <c r="D85" s="18" t="s">
        <v>130</v>
      </c>
      <c r="E85" s="27">
        <v>31834</v>
      </c>
      <c r="F85" s="27">
        <v>45086</v>
      </c>
      <c r="G85" s="27">
        <f t="shared" si="2"/>
        <v>13252</v>
      </c>
      <c r="H85" s="28">
        <f t="shared" si="3"/>
        <v>1325.2</v>
      </c>
      <c r="I85" s="18" t="s">
        <v>45</v>
      </c>
      <c r="J85" s="18" t="s">
        <v>46</v>
      </c>
      <c r="K85" s="18" t="s">
        <v>113</v>
      </c>
    </row>
    <row r="86" spans="1:11" ht="15.6" x14ac:dyDescent="0.3">
      <c r="A86" s="18" t="s">
        <v>127</v>
      </c>
      <c r="B86" s="18" t="s">
        <v>225</v>
      </c>
      <c r="C86" s="18" t="s">
        <v>139</v>
      </c>
      <c r="D86" s="18" t="s">
        <v>140</v>
      </c>
      <c r="E86" s="27">
        <v>62844</v>
      </c>
      <c r="F86" s="27">
        <v>75725</v>
      </c>
      <c r="G86" s="27">
        <f t="shared" si="2"/>
        <v>12881</v>
      </c>
      <c r="H86" s="28">
        <f t="shared" si="3"/>
        <v>2576.2000000000003</v>
      </c>
      <c r="I86" s="18" t="s">
        <v>47</v>
      </c>
      <c r="J86" s="18" t="s">
        <v>48</v>
      </c>
      <c r="K86" s="18" t="s">
        <v>121</v>
      </c>
    </row>
    <row r="87" spans="1:11" ht="15.6" x14ac:dyDescent="0.3">
      <c r="A87" s="18" t="s">
        <v>127</v>
      </c>
      <c r="B87" s="18" t="s">
        <v>226</v>
      </c>
      <c r="C87" s="18" t="s">
        <v>101</v>
      </c>
      <c r="D87" s="18" t="s">
        <v>102</v>
      </c>
      <c r="E87" s="27">
        <v>36498</v>
      </c>
      <c r="F87" s="27">
        <v>44957</v>
      </c>
      <c r="G87" s="27">
        <f t="shared" si="2"/>
        <v>8459</v>
      </c>
      <c r="H87" s="28">
        <f t="shared" si="3"/>
        <v>845.90000000000009</v>
      </c>
      <c r="I87" s="18" t="s">
        <v>49</v>
      </c>
      <c r="J87" s="18" t="s">
        <v>50</v>
      </c>
      <c r="K87" s="18" t="s">
        <v>116</v>
      </c>
    </row>
    <row r="88" spans="1:11" ht="15.6" x14ac:dyDescent="0.3">
      <c r="A88" s="18" t="s">
        <v>127</v>
      </c>
      <c r="B88" s="18" t="s">
        <v>227</v>
      </c>
      <c r="C88" s="18" t="s">
        <v>159</v>
      </c>
      <c r="D88" s="18" t="s">
        <v>160</v>
      </c>
      <c r="E88" s="27">
        <v>33991</v>
      </c>
      <c r="F88" s="27">
        <v>50583</v>
      </c>
      <c r="G88" s="27">
        <f t="shared" si="2"/>
        <v>16592</v>
      </c>
      <c r="H88" s="28">
        <f t="shared" si="3"/>
        <v>3318.4</v>
      </c>
      <c r="I88" s="18" t="s">
        <v>51</v>
      </c>
      <c r="J88" s="18" t="s">
        <v>52</v>
      </c>
      <c r="K88" s="18" t="s">
        <v>116</v>
      </c>
    </row>
    <row r="89" spans="1:11" ht="15.6" x14ac:dyDescent="0.3">
      <c r="A89" s="18" t="s">
        <v>127</v>
      </c>
      <c r="B89" s="18" t="s">
        <v>228</v>
      </c>
      <c r="C89" s="18" t="s">
        <v>146</v>
      </c>
      <c r="D89" s="18" t="s">
        <v>147</v>
      </c>
      <c r="E89" s="27">
        <v>68230</v>
      </c>
      <c r="F89" s="27">
        <v>90163</v>
      </c>
      <c r="G89" s="27">
        <f t="shared" si="2"/>
        <v>21933</v>
      </c>
      <c r="H89" s="28">
        <f t="shared" si="3"/>
        <v>4386.6000000000004</v>
      </c>
      <c r="I89" s="18" t="s">
        <v>53</v>
      </c>
      <c r="J89" s="18" t="s">
        <v>54</v>
      </c>
      <c r="K89" s="18" t="s">
        <v>116</v>
      </c>
    </row>
    <row r="90" spans="1:11" ht="15.6" x14ac:dyDescent="0.3">
      <c r="A90" s="18" t="s">
        <v>127</v>
      </c>
      <c r="B90" s="18" t="s">
        <v>229</v>
      </c>
      <c r="C90" s="18" t="s">
        <v>156</v>
      </c>
      <c r="D90" s="18" t="s">
        <v>157</v>
      </c>
      <c r="E90" s="27">
        <v>38569</v>
      </c>
      <c r="F90" s="27">
        <v>48544</v>
      </c>
      <c r="G90" s="27">
        <f t="shared" si="2"/>
        <v>9975</v>
      </c>
      <c r="H90" s="28">
        <f t="shared" si="3"/>
        <v>997.5</v>
      </c>
      <c r="I90" s="18" t="s">
        <v>55</v>
      </c>
      <c r="J90" s="18" t="s">
        <v>56</v>
      </c>
      <c r="K90" s="18" t="s">
        <v>121</v>
      </c>
    </row>
    <row r="91" spans="1:11" ht="15.6" x14ac:dyDescent="0.3">
      <c r="A91" s="18" t="s">
        <v>127</v>
      </c>
      <c r="B91" s="18" t="s">
        <v>230</v>
      </c>
      <c r="C91" s="18" t="s">
        <v>156</v>
      </c>
      <c r="D91" s="18" t="s">
        <v>157</v>
      </c>
      <c r="E91" s="27">
        <v>31225</v>
      </c>
      <c r="F91" s="27">
        <v>50647</v>
      </c>
      <c r="G91" s="27">
        <f t="shared" si="2"/>
        <v>19422</v>
      </c>
      <c r="H91" s="28">
        <f t="shared" si="3"/>
        <v>3884.4</v>
      </c>
      <c r="I91" s="18" t="s">
        <v>57</v>
      </c>
      <c r="J91" s="18" t="s">
        <v>58</v>
      </c>
      <c r="K91" s="18" t="s">
        <v>113</v>
      </c>
    </row>
    <row r="92" spans="1:11" ht="15.6" x14ac:dyDescent="0.3">
      <c r="A92" s="18" t="s">
        <v>127</v>
      </c>
      <c r="B92" s="18" t="s">
        <v>231</v>
      </c>
      <c r="C92" s="18" t="s">
        <v>111</v>
      </c>
      <c r="D92" s="18" t="s">
        <v>112</v>
      </c>
      <c r="E92" s="27">
        <v>28128</v>
      </c>
      <c r="F92" s="27">
        <v>33355</v>
      </c>
      <c r="G92" s="27">
        <f t="shared" si="2"/>
        <v>5227</v>
      </c>
      <c r="H92" s="28">
        <f t="shared" si="3"/>
        <v>522.70000000000005</v>
      </c>
      <c r="I92" s="18" t="s">
        <v>39</v>
      </c>
      <c r="J92" s="18" t="s">
        <v>40</v>
      </c>
      <c r="K92" s="18" t="s">
        <v>113</v>
      </c>
    </row>
    <row r="93" spans="1:11" ht="15.6" x14ac:dyDescent="0.3">
      <c r="A93" s="18" t="s">
        <v>127</v>
      </c>
      <c r="B93" s="18" t="s">
        <v>232</v>
      </c>
      <c r="C93" s="18" t="s">
        <v>159</v>
      </c>
      <c r="D93" s="18" t="s">
        <v>160</v>
      </c>
      <c r="E93" s="27">
        <v>61030</v>
      </c>
      <c r="F93" s="27">
        <v>69973</v>
      </c>
      <c r="G93" s="27">
        <f t="shared" si="2"/>
        <v>8943</v>
      </c>
      <c r="H93" s="28">
        <f t="shared" si="3"/>
        <v>1788.6000000000001</v>
      </c>
      <c r="I93" s="18" t="s">
        <v>41</v>
      </c>
      <c r="J93" s="18" t="s">
        <v>42</v>
      </c>
      <c r="K93" s="18" t="s">
        <v>121</v>
      </c>
    </row>
    <row r="94" spans="1:11" ht="15.6" x14ac:dyDescent="0.3">
      <c r="A94" s="18" t="s">
        <v>127</v>
      </c>
      <c r="B94" s="18" t="s">
        <v>233</v>
      </c>
      <c r="C94" s="18" t="s">
        <v>106</v>
      </c>
      <c r="D94" s="18" t="s">
        <v>107</v>
      </c>
      <c r="E94" s="27">
        <v>51363</v>
      </c>
      <c r="F94" s="27">
        <v>73348</v>
      </c>
      <c r="G94" s="27">
        <f t="shared" si="2"/>
        <v>21985</v>
      </c>
      <c r="H94" s="28">
        <f t="shared" si="3"/>
        <v>4397</v>
      </c>
      <c r="I94" s="18" t="s">
        <v>43</v>
      </c>
      <c r="J94" s="18" t="s">
        <v>44</v>
      </c>
      <c r="K94" s="18" t="s">
        <v>121</v>
      </c>
    </row>
    <row r="95" spans="1:11" ht="15.6" x14ac:dyDescent="0.3">
      <c r="A95" s="18" t="s">
        <v>127</v>
      </c>
      <c r="B95" s="18" t="s">
        <v>234</v>
      </c>
      <c r="C95" s="18" t="s">
        <v>156</v>
      </c>
      <c r="D95" s="18" t="s">
        <v>157</v>
      </c>
      <c r="E95" s="27">
        <v>61620</v>
      </c>
      <c r="F95" s="27">
        <v>70096</v>
      </c>
      <c r="G95" s="27">
        <f t="shared" si="2"/>
        <v>8476</v>
      </c>
      <c r="H95" s="28">
        <f t="shared" si="3"/>
        <v>1695.2</v>
      </c>
      <c r="I95" s="18" t="s">
        <v>45</v>
      </c>
      <c r="J95" s="18" t="s">
        <v>46</v>
      </c>
      <c r="K95" s="18" t="s">
        <v>121</v>
      </c>
    </row>
    <row r="96" spans="1:11" ht="15.6" x14ac:dyDescent="0.3">
      <c r="A96" s="18" t="s">
        <v>127</v>
      </c>
      <c r="B96" s="18" t="s">
        <v>235</v>
      </c>
      <c r="C96" s="18" t="s">
        <v>106</v>
      </c>
      <c r="D96" s="18" t="s">
        <v>107</v>
      </c>
      <c r="E96" s="27">
        <v>46285</v>
      </c>
      <c r="F96" s="27">
        <v>57553</v>
      </c>
      <c r="G96" s="27">
        <f t="shared" si="2"/>
        <v>11268</v>
      </c>
      <c r="H96" s="28">
        <f t="shared" si="3"/>
        <v>2253.6</v>
      </c>
      <c r="I96" s="18" t="s">
        <v>47</v>
      </c>
      <c r="J96" s="18" t="s">
        <v>48</v>
      </c>
      <c r="K96" s="18" t="s">
        <v>108</v>
      </c>
    </row>
    <row r="97" spans="1:11" ht="15.6" x14ac:dyDescent="0.3">
      <c r="A97" s="18" t="s">
        <v>131</v>
      </c>
      <c r="B97" s="18" t="s">
        <v>236</v>
      </c>
      <c r="C97" s="18" t="s">
        <v>106</v>
      </c>
      <c r="D97" s="18" t="s">
        <v>107</v>
      </c>
      <c r="E97" s="27">
        <v>31202</v>
      </c>
      <c r="F97" s="27">
        <v>39361</v>
      </c>
      <c r="G97" s="27">
        <f t="shared" si="2"/>
        <v>8159</v>
      </c>
      <c r="H97" s="28">
        <f t="shared" si="3"/>
        <v>815.90000000000009</v>
      </c>
      <c r="I97" s="18" t="s">
        <v>49</v>
      </c>
      <c r="J97" s="18" t="s">
        <v>50</v>
      </c>
      <c r="K97" s="18" t="s">
        <v>116</v>
      </c>
    </row>
    <row r="98" spans="1:11" ht="15.6" x14ac:dyDescent="0.3">
      <c r="A98" s="18" t="s">
        <v>131</v>
      </c>
      <c r="B98" s="18" t="s">
        <v>237</v>
      </c>
      <c r="C98" s="18" t="s">
        <v>156</v>
      </c>
      <c r="D98" s="18" t="s">
        <v>157</v>
      </c>
      <c r="E98" s="27">
        <v>31826</v>
      </c>
      <c r="F98" s="27">
        <v>38902</v>
      </c>
      <c r="G98" s="27">
        <f t="shared" si="2"/>
        <v>7076</v>
      </c>
      <c r="H98" s="28">
        <f t="shared" si="3"/>
        <v>707.6</v>
      </c>
      <c r="I98" s="18" t="s">
        <v>51</v>
      </c>
      <c r="J98" s="18" t="s">
        <v>52</v>
      </c>
      <c r="K98" s="18" t="s">
        <v>116</v>
      </c>
    </row>
    <row r="99" spans="1:11" ht="15.6" x14ac:dyDescent="0.3">
      <c r="A99" s="18" t="s">
        <v>131</v>
      </c>
      <c r="B99" s="18" t="s">
        <v>238</v>
      </c>
      <c r="C99" s="18" t="s">
        <v>101</v>
      </c>
      <c r="D99" s="18" t="s">
        <v>102</v>
      </c>
      <c r="E99" s="27">
        <v>70142</v>
      </c>
      <c r="F99" s="27">
        <v>91707</v>
      </c>
      <c r="G99" s="27">
        <f t="shared" si="2"/>
        <v>21565</v>
      </c>
      <c r="H99" s="28">
        <f t="shared" si="3"/>
        <v>4313</v>
      </c>
      <c r="I99" s="18" t="s">
        <v>53</v>
      </c>
      <c r="J99" s="18" t="s">
        <v>54</v>
      </c>
      <c r="K99" s="18" t="s">
        <v>121</v>
      </c>
    </row>
    <row r="100" spans="1:11" ht="15.6" x14ac:dyDescent="0.3">
      <c r="A100" s="18" t="s">
        <v>131</v>
      </c>
      <c r="B100" s="18" t="s">
        <v>239</v>
      </c>
      <c r="C100" s="18" t="s">
        <v>156</v>
      </c>
      <c r="D100" s="18" t="s">
        <v>157</v>
      </c>
      <c r="E100" s="27">
        <v>43068</v>
      </c>
      <c r="F100" s="27">
        <v>57150</v>
      </c>
      <c r="G100" s="27">
        <f t="shared" si="2"/>
        <v>14082</v>
      </c>
      <c r="H100" s="28">
        <f t="shared" si="3"/>
        <v>2816.4</v>
      </c>
      <c r="I100" s="18" t="s">
        <v>55</v>
      </c>
      <c r="J100" s="18" t="s">
        <v>56</v>
      </c>
      <c r="K100" s="18" t="s">
        <v>116</v>
      </c>
    </row>
    <row r="101" spans="1:11" ht="15.6" x14ac:dyDescent="0.3">
      <c r="A101" s="18" t="s">
        <v>131</v>
      </c>
      <c r="B101" s="18" t="s">
        <v>240</v>
      </c>
      <c r="C101" s="18" t="s">
        <v>156</v>
      </c>
      <c r="D101" s="18" t="s">
        <v>157</v>
      </c>
      <c r="E101" s="27">
        <v>64949</v>
      </c>
      <c r="F101" s="27">
        <v>85613</v>
      </c>
      <c r="G101" s="27">
        <f t="shared" si="2"/>
        <v>20664</v>
      </c>
      <c r="H101" s="28">
        <f t="shared" si="3"/>
        <v>4132.8</v>
      </c>
      <c r="I101" s="18" t="s">
        <v>57</v>
      </c>
      <c r="J101" s="18" t="s">
        <v>58</v>
      </c>
      <c r="K101" s="18" t="s">
        <v>121</v>
      </c>
    </row>
    <row r="102" spans="1:11" ht="15.6" x14ac:dyDescent="0.3">
      <c r="A102" s="18" t="s">
        <v>131</v>
      </c>
      <c r="B102" s="18" t="s">
        <v>241</v>
      </c>
      <c r="C102" s="18" t="s">
        <v>129</v>
      </c>
      <c r="D102" s="18" t="s">
        <v>130</v>
      </c>
      <c r="E102" s="27">
        <v>45144</v>
      </c>
      <c r="F102" s="27">
        <v>51270</v>
      </c>
      <c r="G102" s="27">
        <f t="shared" si="2"/>
        <v>6126</v>
      </c>
      <c r="H102" s="28">
        <f t="shared" si="3"/>
        <v>1225.2</v>
      </c>
      <c r="I102" s="18" t="s">
        <v>39</v>
      </c>
      <c r="J102" s="18" t="s">
        <v>40</v>
      </c>
      <c r="K102" s="18" t="s">
        <v>121</v>
      </c>
    </row>
    <row r="103" spans="1:11" ht="15.6" x14ac:dyDescent="0.3">
      <c r="A103" s="18" t="s">
        <v>131</v>
      </c>
      <c r="B103" s="18" t="s">
        <v>242</v>
      </c>
      <c r="C103" s="18" t="s">
        <v>129</v>
      </c>
      <c r="D103" s="18" t="s">
        <v>130</v>
      </c>
      <c r="E103" s="27">
        <v>85050</v>
      </c>
      <c r="F103" s="27">
        <v>104714</v>
      </c>
      <c r="G103" s="27">
        <f t="shared" si="2"/>
        <v>19664</v>
      </c>
      <c r="H103" s="28">
        <f t="shared" si="3"/>
        <v>3932.8</v>
      </c>
      <c r="I103" s="18" t="s">
        <v>41</v>
      </c>
      <c r="J103" s="18" t="s">
        <v>42</v>
      </c>
      <c r="K103" s="18" t="s">
        <v>113</v>
      </c>
    </row>
    <row r="104" spans="1:11" ht="15.6" x14ac:dyDescent="0.3">
      <c r="A104" s="18" t="s">
        <v>131</v>
      </c>
      <c r="B104" s="18" t="s">
        <v>243</v>
      </c>
      <c r="C104" s="18" t="s">
        <v>124</v>
      </c>
      <c r="D104" s="18" t="s">
        <v>125</v>
      </c>
      <c r="E104" s="27">
        <v>37970</v>
      </c>
      <c r="F104" s="27">
        <v>55826</v>
      </c>
      <c r="G104" s="27">
        <f t="shared" si="2"/>
        <v>17856</v>
      </c>
      <c r="H104" s="28">
        <f t="shared" si="3"/>
        <v>3571.2000000000003</v>
      </c>
      <c r="I104" s="18" t="s">
        <v>43</v>
      </c>
      <c r="J104" s="18" t="s">
        <v>44</v>
      </c>
      <c r="K104" s="18" t="s">
        <v>116</v>
      </c>
    </row>
    <row r="105" spans="1:11" ht="15.6" x14ac:dyDescent="0.3">
      <c r="A105" s="18" t="s">
        <v>131</v>
      </c>
      <c r="B105" s="18" t="s">
        <v>244</v>
      </c>
      <c r="C105" s="18" t="s">
        <v>101</v>
      </c>
      <c r="D105" s="18" t="s">
        <v>102</v>
      </c>
      <c r="E105" s="27">
        <v>34754</v>
      </c>
      <c r="F105" s="27">
        <v>47639</v>
      </c>
      <c r="G105" s="27">
        <f t="shared" si="2"/>
        <v>12885</v>
      </c>
      <c r="H105" s="28">
        <f t="shared" si="3"/>
        <v>1288.5</v>
      </c>
      <c r="I105" s="18" t="s">
        <v>45</v>
      </c>
      <c r="J105" s="18" t="s">
        <v>46</v>
      </c>
      <c r="K105" s="18" t="s">
        <v>116</v>
      </c>
    </row>
    <row r="106" spans="1:11" ht="15.6" x14ac:dyDescent="0.3">
      <c r="A106" s="18" t="s">
        <v>131</v>
      </c>
      <c r="B106" s="18" t="s">
        <v>245</v>
      </c>
      <c r="C106" s="18" t="s">
        <v>119</v>
      </c>
      <c r="D106" s="18" t="s">
        <v>120</v>
      </c>
      <c r="E106" s="27">
        <v>43938</v>
      </c>
      <c r="F106" s="27">
        <v>58859</v>
      </c>
      <c r="G106" s="27">
        <f t="shared" si="2"/>
        <v>14921</v>
      </c>
      <c r="H106" s="28">
        <f t="shared" si="3"/>
        <v>2984.2000000000003</v>
      </c>
      <c r="I106" s="18" t="s">
        <v>47</v>
      </c>
      <c r="J106" s="18" t="s">
        <v>48</v>
      </c>
      <c r="K106" s="18" t="s">
        <v>126</v>
      </c>
    </row>
    <row r="107" spans="1:11" ht="15.6" x14ac:dyDescent="0.3">
      <c r="A107" s="18" t="s">
        <v>131</v>
      </c>
      <c r="B107" s="18" t="s">
        <v>246</v>
      </c>
      <c r="C107" s="18" t="s">
        <v>159</v>
      </c>
      <c r="D107" s="18" t="s">
        <v>160</v>
      </c>
      <c r="E107" s="27">
        <v>39999</v>
      </c>
      <c r="F107" s="27">
        <v>45170</v>
      </c>
      <c r="G107" s="27">
        <f t="shared" si="2"/>
        <v>5171</v>
      </c>
      <c r="H107" s="28">
        <f t="shared" si="3"/>
        <v>517.1</v>
      </c>
      <c r="I107" s="18" t="s">
        <v>49</v>
      </c>
      <c r="J107" s="18" t="s">
        <v>50</v>
      </c>
      <c r="K107" s="18" t="s">
        <v>108</v>
      </c>
    </row>
    <row r="108" spans="1:11" ht="15.6" x14ac:dyDescent="0.3">
      <c r="A108" s="18" t="s">
        <v>131</v>
      </c>
      <c r="B108" s="18" t="s">
        <v>247</v>
      </c>
      <c r="C108" s="18" t="s">
        <v>159</v>
      </c>
      <c r="D108" s="18" t="s">
        <v>160</v>
      </c>
      <c r="E108" s="27">
        <v>60653</v>
      </c>
      <c r="F108" s="27">
        <v>72848</v>
      </c>
      <c r="G108" s="27">
        <f t="shared" si="2"/>
        <v>12195</v>
      </c>
      <c r="H108" s="28">
        <f t="shared" si="3"/>
        <v>2439</v>
      </c>
      <c r="I108" s="18" t="s">
        <v>51</v>
      </c>
      <c r="J108" s="18" t="s">
        <v>52</v>
      </c>
      <c r="K108" s="18" t="s">
        <v>103</v>
      </c>
    </row>
    <row r="109" spans="1:11" ht="15.6" x14ac:dyDescent="0.3">
      <c r="A109" s="18" t="s">
        <v>131</v>
      </c>
      <c r="B109" s="18" t="s">
        <v>248</v>
      </c>
      <c r="C109" s="18" t="s">
        <v>119</v>
      </c>
      <c r="D109" s="18" t="s">
        <v>120</v>
      </c>
      <c r="E109" s="27">
        <v>56100</v>
      </c>
      <c r="F109" s="27">
        <v>77066</v>
      </c>
      <c r="G109" s="27">
        <f t="shared" si="2"/>
        <v>20966</v>
      </c>
      <c r="H109" s="28">
        <f t="shared" si="3"/>
        <v>4193.2</v>
      </c>
      <c r="I109" s="18" t="s">
        <v>53</v>
      </c>
      <c r="J109" s="18" t="s">
        <v>54</v>
      </c>
      <c r="K109" s="18" t="s">
        <v>113</v>
      </c>
    </row>
    <row r="110" spans="1:11" ht="15.6" x14ac:dyDescent="0.3">
      <c r="A110" s="18" t="s">
        <v>133</v>
      </c>
      <c r="B110" s="18" t="s">
        <v>249</v>
      </c>
      <c r="C110" s="18" t="s">
        <v>146</v>
      </c>
      <c r="D110" s="18" t="s">
        <v>147</v>
      </c>
      <c r="E110" s="27">
        <v>84555</v>
      </c>
      <c r="F110" s="27">
        <v>96885</v>
      </c>
      <c r="G110" s="27">
        <f t="shared" si="2"/>
        <v>12330</v>
      </c>
      <c r="H110" s="28">
        <f t="shared" si="3"/>
        <v>2466</v>
      </c>
      <c r="I110" s="18" t="s">
        <v>55</v>
      </c>
      <c r="J110" s="18" t="s">
        <v>56</v>
      </c>
      <c r="K110" s="18" t="s">
        <v>113</v>
      </c>
    </row>
    <row r="111" spans="1:11" ht="15.6" x14ac:dyDescent="0.3">
      <c r="A111" s="18" t="s">
        <v>133</v>
      </c>
      <c r="B111" s="18" t="s">
        <v>250</v>
      </c>
      <c r="C111" s="18" t="s">
        <v>163</v>
      </c>
      <c r="D111" s="18" t="s">
        <v>164</v>
      </c>
      <c r="E111" s="27">
        <v>58280</v>
      </c>
      <c r="F111" s="27">
        <v>80175</v>
      </c>
      <c r="G111" s="27">
        <f t="shared" si="2"/>
        <v>21895</v>
      </c>
      <c r="H111" s="28">
        <f t="shared" si="3"/>
        <v>4379</v>
      </c>
      <c r="I111" s="18" t="s">
        <v>57</v>
      </c>
      <c r="J111" s="18" t="s">
        <v>58</v>
      </c>
      <c r="K111" s="18" t="s">
        <v>116</v>
      </c>
    </row>
    <row r="112" spans="1:11" ht="15.6" x14ac:dyDescent="0.3">
      <c r="A112" s="18" t="s">
        <v>133</v>
      </c>
      <c r="B112" s="18" t="s">
        <v>251</v>
      </c>
      <c r="C112" s="18" t="s">
        <v>101</v>
      </c>
      <c r="D112" s="18" t="s">
        <v>102</v>
      </c>
      <c r="E112" s="27">
        <v>41804</v>
      </c>
      <c r="F112" s="27">
        <v>47407</v>
      </c>
      <c r="G112" s="27">
        <f t="shared" si="2"/>
        <v>5603</v>
      </c>
      <c r="H112" s="28">
        <f t="shared" si="3"/>
        <v>560.30000000000007</v>
      </c>
      <c r="I112" s="18" t="s">
        <v>39</v>
      </c>
      <c r="J112" s="18" t="s">
        <v>40</v>
      </c>
      <c r="K112" s="18" t="s">
        <v>108</v>
      </c>
    </row>
    <row r="113" spans="1:11" ht="15.6" x14ac:dyDescent="0.3">
      <c r="A113" s="18" t="s">
        <v>133</v>
      </c>
      <c r="B113" s="18" t="s">
        <v>252</v>
      </c>
      <c r="C113" s="18" t="s">
        <v>101</v>
      </c>
      <c r="D113" s="18" t="s">
        <v>102</v>
      </c>
      <c r="E113" s="27">
        <v>36042</v>
      </c>
      <c r="F113" s="27">
        <v>53033</v>
      </c>
      <c r="G113" s="27">
        <f t="shared" si="2"/>
        <v>16991</v>
      </c>
      <c r="H113" s="28">
        <f t="shared" si="3"/>
        <v>3398.2000000000003</v>
      </c>
      <c r="I113" s="18" t="s">
        <v>41</v>
      </c>
      <c r="J113" s="18" t="s">
        <v>42</v>
      </c>
      <c r="K113" s="18" t="s">
        <v>126</v>
      </c>
    </row>
    <row r="114" spans="1:11" ht="15.6" x14ac:dyDescent="0.3">
      <c r="A114" s="18" t="s">
        <v>133</v>
      </c>
      <c r="B114" s="18" t="s">
        <v>253</v>
      </c>
      <c r="C114" s="18" t="s">
        <v>101</v>
      </c>
      <c r="D114" s="18" t="s">
        <v>102</v>
      </c>
      <c r="E114" s="27">
        <v>66310</v>
      </c>
      <c r="F114" s="27">
        <v>86339</v>
      </c>
      <c r="G114" s="27">
        <f t="shared" si="2"/>
        <v>20029</v>
      </c>
      <c r="H114" s="28">
        <f t="shared" si="3"/>
        <v>4005.8</v>
      </c>
      <c r="I114" s="18" t="s">
        <v>43</v>
      </c>
      <c r="J114" s="18" t="s">
        <v>44</v>
      </c>
      <c r="K114" s="18" t="s">
        <v>116</v>
      </c>
    </row>
    <row r="115" spans="1:11" ht="15.6" x14ac:dyDescent="0.3">
      <c r="A115" s="18" t="s">
        <v>133</v>
      </c>
      <c r="B115" s="18" t="s">
        <v>254</v>
      </c>
      <c r="C115" s="18" t="s">
        <v>163</v>
      </c>
      <c r="D115" s="18" t="s">
        <v>164</v>
      </c>
      <c r="E115" s="27">
        <v>31185</v>
      </c>
      <c r="F115" s="27">
        <v>48779</v>
      </c>
      <c r="G115" s="27">
        <f t="shared" si="2"/>
        <v>17594</v>
      </c>
      <c r="H115" s="28">
        <f t="shared" si="3"/>
        <v>1759.4</v>
      </c>
      <c r="I115" s="18" t="s">
        <v>45</v>
      </c>
      <c r="J115" s="18" t="s">
        <v>46</v>
      </c>
      <c r="K115" s="18" t="s">
        <v>108</v>
      </c>
    </row>
    <row r="116" spans="1:11" ht="15.6" x14ac:dyDescent="0.3">
      <c r="A116" s="18" t="s">
        <v>133</v>
      </c>
      <c r="B116" s="18" t="s">
        <v>255</v>
      </c>
      <c r="C116" s="18" t="s">
        <v>156</v>
      </c>
      <c r="D116" s="18" t="s">
        <v>157</v>
      </c>
      <c r="E116" s="27">
        <v>70889</v>
      </c>
      <c r="F116" s="27">
        <v>85570</v>
      </c>
      <c r="G116" s="27">
        <f t="shared" si="2"/>
        <v>14681</v>
      </c>
      <c r="H116" s="28">
        <f t="shared" si="3"/>
        <v>2936.2000000000003</v>
      </c>
      <c r="I116" s="18" t="s">
        <v>47</v>
      </c>
      <c r="J116" s="18" t="s">
        <v>48</v>
      </c>
      <c r="K116" s="18" t="s">
        <v>121</v>
      </c>
    </row>
    <row r="117" spans="1:11" ht="15.6" x14ac:dyDescent="0.3">
      <c r="A117" s="18" t="s">
        <v>133</v>
      </c>
      <c r="B117" s="18" t="s">
        <v>256</v>
      </c>
      <c r="C117" s="18" t="s">
        <v>119</v>
      </c>
      <c r="D117" s="18" t="s">
        <v>120</v>
      </c>
      <c r="E117" s="27">
        <v>31697</v>
      </c>
      <c r="F117" s="27">
        <v>37569</v>
      </c>
      <c r="G117" s="27">
        <f t="shared" si="2"/>
        <v>5872</v>
      </c>
      <c r="H117" s="28">
        <f t="shared" si="3"/>
        <v>587.20000000000005</v>
      </c>
      <c r="I117" s="18" t="s">
        <v>49</v>
      </c>
      <c r="J117" s="18" t="s">
        <v>50</v>
      </c>
      <c r="K117" s="18" t="s">
        <v>126</v>
      </c>
    </row>
    <row r="118" spans="1:11" ht="15.6" x14ac:dyDescent="0.3">
      <c r="A118" s="18" t="s">
        <v>133</v>
      </c>
      <c r="B118" s="18" t="s">
        <v>257</v>
      </c>
      <c r="C118" s="18" t="s">
        <v>119</v>
      </c>
      <c r="D118" s="18" t="s">
        <v>120</v>
      </c>
      <c r="E118" s="27">
        <v>47404</v>
      </c>
      <c r="F118" s="27">
        <v>61314</v>
      </c>
      <c r="G118" s="27">
        <f t="shared" si="2"/>
        <v>13910</v>
      </c>
      <c r="H118" s="28">
        <f t="shared" si="3"/>
        <v>2782</v>
      </c>
      <c r="I118" s="18" t="s">
        <v>51</v>
      </c>
      <c r="J118" s="18" t="s">
        <v>52</v>
      </c>
      <c r="K118" s="18" t="s">
        <v>126</v>
      </c>
    </row>
    <row r="119" spans="1:11" ht="15.6" x14ac:dyDescent="0.3">
      <c r="A119" s="18" t="s">
        <v>133</v>
      </c>
      <c r="B119" s="18" t="s">
        <v>258</v>
      </c>
      <c r="C119" s="18" t="s">
        <v>159</v>
      </c>
      <c r="D119" s="18" t="s">
        <v>160</v>
      </c>
      <c r="E119" s="27">
        <v>47723</v>
      </c>
      <c r="F119" s="27">
        <v>56968</v>
      </c>
      <c r="G119" s="27">
        <f t="shared" si="2"/>
        <v>9245</v>
      </c>
      <c r="H119" s="28">
        <f t="shared" si="3"/>
        <v>1849</v>
      </c>
      <c r="I119" s="18" t="s">
        <v>53</v>
      </c>
      <c r="J119" s="18" t="s">
        <v>54</v>
      </c>
      <c r="K119" s="18" t="s">
        <v>116</v>
      </c>
    </row>
    <row r="120" spans="1:11" ht="15.6" x14ac:dyDescent="0.3">
      <c r="A120" s="18" t="s">
        <v>133</v>
      </c>
      <c r="B120" s="18" t="s">
        <v>259</v>
      </c>
      <c r="C120" s="18" t="s">
        <v>146</v>
      </c>
      <c r="D120" s="18" t="s">
        <v>147</v>
      </c>
      <c r="E120" s="27">
        <v>83672</v>
      </c>
      <c r="F120" s="27">
        <v>97146</v>
      </c>
      <c r="G120" s="27">
        <f t="shared" si="2"/>
        <v>13474</v>
      </c>
      <c r="H120" s="28">
        <f t="shared" si="3"/>
        <v>2694.8</v>
      </c>
      <c r="I120" s="18" t="s">
        <v>55</v>
      </c>
      <c r="J120" s="18" t="s">
        <v>56</v>
      </c>
      <c r="K120" s="18" t="s">
        <v>116</v>
      </c>
    </row>
    <row r="121" spans="1:11" ht="15.6" x14ac:dyDescent="0.3">
      <c r="A121" s="18" t="s">
        <v>133</v>
      </c>
      <c r="B121" s="18" t="s">
        <v>260</v>
      </c>
      <c r="C121" s="18" t="s">
        <v>159</v>
      </c>
      <c r="D121" s="18" t="s">
        <v>160</v>
      </c>
      <c r="E121" s="27">
        <v>65166</v>
      </c>
      <c r="F121" s="27">
        <v>87034</v>
      </c>
      <c r="G121" s="27">
        <f t="shared" si="2"/>
        <v>21868</v>
      </c>
      <c r="H121" s="28">
        <f t="shared" si="3"/>
        <v>4373.6000000000004</v>
      </c>
      <c r="I121" s="18" t="s">
        <v>57</v>
      </c>
      <c r="J121" s="18" t="s">
        <v>58</v>
      </c>
      <c r="K121" s="18" t="s">
        <v>121</v>
      </c>
    </row>
    <row r="122" spans="1:11" ht="15.6" x14ac:dyDescent="0.3">
      <c r="A122" s="18" t="s">
        <v>133</v>
      </c>
      <c r="B122" s="18" t="s">
        <v>261</v>
      </c>
      <c r="C122" s="18" t="s">
        <v>149</v>
      </c>
      <c r="D122" s="18" t="s">
        <v>150</v>
      </c>
      <c r="E122" s="27">
        <v>38716</v>
      </c>
      <c r="F122" s="27">
        <v>43448</v>
      </c>
      <c r="G122" s="27">
        <f t="shared" si="2"/>
        <v>4732</v>
      </c>
      <c r="H122" s="28">
        <f t="shared" si="3"/>
        <v>473.20000000000005</v>
      </c>
      <c r="I122" s="18" t="s">
        <v>39</v>
      </c>
      <c r="J122" s="18" t="s">
        <v>40</v>
      </c>
      <c r="K122" s="18" t="s">
        <v>108</v>
      </c>
    </row>
    <row r="123" spans="1:11" ht="15.6" x14ac:dyDescent="0.3">
      <c r="A123" s="18" t="s">
        <v>135</v>
      </c>
      <c r="B123" s="18" t="s">
        <v>262</v>
      </c>
      <c r="C123" s="18" t="s">
        <v>106</v>
      </c>
      <c r="D123" s="18" t="s">
        <v>107</v>
      </c>
      <c r="E123" s="27">
        <v>82401</v>
      </c>
      <c r="F123" s="27">
        <v>93408</v>
      </c>
      <c r="G123" s="27">
        <f t="shared" si="2"/>
        <v>11007</v>
      </c>
      <c r="H123" s="28">
        <f t="shared" si="3"/>
        <v>2201.4</v>
      </c>
      <c r="I123" s="18" t="s">
        <v>41</v>
      </c>
      <c r="J123" s="18" t="s">
        <v>42</v>
      </c>
      <c r="K123" s="18" t="s">
        <v>116</v>
      </c>
    </row>
    <row r="124" spans="1:11" ht="15.6" x14ac:dyDescent="0.3">
      <c r="A124" s="18" t="s">
        <v>135</v>
      </c>
      <c r="B124" s="18" t="s">
        <v>263</v>
      </c>
      <c r="C124" s="18" t="s">
        <v>119</v>
      </c>
      <c r="D124" s="18" t="s">
        <v>120</v>
      </c>
      <c r="E124" s="27">
        <v>47624</v>
      </c>
      <c r="F124" s="27">
        <v>53175</v>
      </c>
      <c r="G124" s="27">
        <f t="shared" si="2"/>
        <v>5551</v>
      </c>
      <c r="H124" s="28">
        <f t="shared" si="3"/>
        <v>1110.2</v>
      </c>
      <c r="I124" s="18" t="s">
        <v>43</v>
      </c>
      <c r="J124" s="18" t="s">
        <v>44</v>
      </c>
      <c r="K124" s="18" t="s">
        <v>103</v>
      </c>
    </row>
    <row r="125" spans="1:11" ht="15.6" x14ac:dyDescent="0.3">
      <c r="A125" s="18" t="s">
        <v>135</v>
      </c>
      <c r="B125" s="18" t="s">
        <v>264</v>
      </c>
      <c r="C125" s="18" t="s">
        <v>119</v>
      </c>
      <c r="D125" s="18" t="s">
        <v>120</v>
      </c>
      <c r="E125" s="27">
        <v>82535</v>
      </c>
      <c r="F125" s="27">
        <v>96072</v>
      </c>
      <c r="G125" s="27">
        <f t="shared" si="2"/>
        <v>13537</v>
      </c>
      <c r="H125" s="28">
        <f t="shared" si="3"/>
        <v>2707.4</v>
      </c>
      <c r="I125" s="18" t="s">
        <v>45</v>
      </c>
      <c r="J125" s="18" t="s">
        <v>46</v>
      </c>
      <c r="K125" s="18" t="s">
        <v>126</v>
      </c>
    </row>
    <row r="126" spans="1:11" ht="15.6" x14ac:dyDescent="0.3">
      <c r="A126" s="18" t="s">
        <v>135</v>
      </c>
      <c r="B126" s="18" t="s">
        <v>265</v>
      </c>
      <c r="C126" s="18" t="s">
        <v>111</v>
      </c>
      <c r="D126" s="18" t="s">
        <v>112</v>
      </c>
      <c r="E126" s="27">
        <v>86113</v>
      </c>
      <c r="F126" s="27">
        <v>98400</v>
      </c>
      <c r="G126" s="27">
        <f t="shared" si="2"/>
        <v>12287</v>
      </c>
      <c r="H126" s="28">
        <f t="shared" si="3"/>
        <v>2457.4</v>
      </c>
      <c r="I126" s="18" t="s">
        <v>47</v>
      </c>
      <c r="J126" s="18" t="s">
        <v>48</v>
      </c>
      <c r="K126" s="18" t="s">
        <v>126</v>
      </c>
    </row>
    <row r="127" spans="1:11" ht="15.6" x14ac:dyDescent="0.3">
      <c r="A127" s="18" t="s">
        <v>135</v>
      </c>
      <c r="B127" s="18" t="s">
        <v>266</v>
      </c>
      <c r="C127" s="18" t="s">
        <v>139</v>
      </c>
      <c r="D127" s="18" t="s">
        <v>140</v>
      </c>
      <c r="E127" s="27">
        <v>31987</v>
      </c>
      <c r="F127" s="27">
        <v>39704</v>
      </c>
      <c r="G127" s="27">
        <f t="shared" si="2"/>
        <v>7717</v>
      </c>
      <c r="H127" s="28">
        <f t="shared" si="3"/>
        <v>771.7</v>
      </c>
      <c r="I127" s="18" t="s">
        <v>49</v>
      </c>
      <c r="J127" s="18" t="s">
        <v>50</v>
      </c>
      <c r="K127" s="18" t="s">
        <v>126</v>
      </c>
    </row>
    <row r="128" spans="1:11" ht="15.6" x14ac:dyDescent="0.3">
      <c r="A128" s="18" t="s">
        <v>135</v>
      </c>
      <c r="B128" s="18" t="s">
        <v>267</v>
      </c>
      <c r="C128" s="18" t="s">
        <v>101</v>
      </c>
      <c r="D128" s="18" t="s">
        <v>102</v>
      </c>
      <c r="E128" s="27">
        <v>66245</v>
      </c>
      <c r="F128" s="27">
        <v>84934</v>
      </c>
      <c r="G128" s="27">
        <f t="shared" si="2"/>
        <v>18689</v>
      </c>
      <c r="H128" s="28">
        <f t="shared" si="3"/>
        <v>3737.8</v>
      </c>
      <c r="I128" s="18" t="s">
        <v>51</v>
      </c>
      <c r="J128" s="18" t="s">
        <v>52</v>
      </c>
      <c r="K128" s="18" t="s">
        <v>108</v>
      </c>
    </row>
    <row r="129" spans="1:11" ht="15.6" x14ac:dyDescent="0.3">
      <c r="A129" s="18" t="s">
        <v>135</v>
      </c>
      <c r="B129" s="18" t="s">
        <v>268</v>
      </c>
      <c r="C129" s="18" t="s">
        <v>111</v>
      </c>
      <c r="D129" s="18" t="s">
        <v>112</v>
      </c>
      <c r="E129" s="27">
        <v>38468</v>
      </c>
      <c r="F129" s="27">
        <v>44883</v>
      </c>
      <c r="G129" s="27">
        <f t="shared" si="2"/>
        <v>6415</v>
      </c>
      <c r="H129" s="28">
        <f t="shared" si="3"/>
        <v>641.5</v>
      </c>
      <c r="I129" s="18" t="s">
        <v>53</v>
      </c>
      <c r="J129" s="18" t="s">
        <v>54</v>
      </c>
      <c r="K129" s="18" t="s">
        <v>121</v>
      </c>
    </row>
    <row r="130" spans="1:11" ht="15.6" x14ac:dyDescent="0.3">
      <c r="A130" s="18" t="s">
        <v>135</v>
      </c>
      <c r="B130" s="18" t="s">
        <v>269</v>
      </c>
      <c r="C130" s="18" t="s">
        <v>163</v>
      </c>
      <c r="D130" s="18" t="s">
        <v>164</v>
      </c>
      <c r="E130" s="27">
        <v>45626</v>
      </c>
      <c r="F130" s="27">
        <v>54212</v>
      </c>
      <c r="G130" s="27">
        <f t="shared" si="2"/>
        <v>8586</v>
      </c>
      <c r="H130" s="28">
        <f t="shared" si="3"/>
        <v>1717.2</v>
      </c>
      <c r="I130" s="18" t="s">
        <v>55</v>
      </c>
      <c r="J130" s="18" t="s">
        <v>56</v>
      </c>
      <c r="K130" s="18" t="s">
        <v>113</v>
      </c>
    </row>
    <row r="131" spans="1:11" ht="15.6" x14ac:dyDescent="0.3">
      <c r="A131" s="18" t="s">
        <v>135</v>
      </c>
      <c r="B131" s="18" t="s">
        <v>270</v>
      </c>
      <c r="C131" s="18" t="s">
        <v>139</v>
      </c>
      <c r="D131" s="18" t="s">
        <v>140</v>
      </c>
      <c r="E131" s="27">
        <v>33301</v>
      </c>
      <c r="F131" s="27">
        <v>44236</v>
      </c>
      <c r="G131" s="27">
        <f t="shared" ref="G131:G161" si="4">F131-E131</f>
        <v>10935</v>
      </c>
      <c r="H131" s="28">
        <f t="shared" ref="H131:H161" si="5">IF(F131&gt;50000,G131*0.2,G131*0.1)</f>
        <v>1093.5</v>
      </c>
      <c r="I131" s="18" t="s">
        <v>57</v>
      </c>
      <c r="J131" s="18" t="s">
        <v>58</v>
      </c>
      <c r="K131" s="18" t="s">
        <v>113</v>
      </c>
    </row>
    <row r="132" spans="1:11" ht="15.6" x14ac:dyDescent="0.3">
      <c r="A132" s="18" t="s">
        <v>135</v>
      </c>
      <c r="B132" s="18" t="s">
        <v>271</v>
      </c>
      <c r="C132" s="18" t="s">
        <v>139</v>
      </c>
      <c r="D132" s="18" t="s">
        <v>140</v>
      </c>
      <c r="E132" s="27">
        <v>37994</v>
      </c>
      <c r="F132" s="27">
        <v>46344</v>
      </c>
      <c r="G132" s="27">
        <f t="shared" si="4"/>
        <v>8350</v>
      </c>
      <c r="H132" s="28">
        <f t="shared" si="5"/>
        <v>835</v>
      </c>
      <c r="I132" s="18" t="s">
        <v>39</v>
      </c>
      <c r="J132" s="18" t="s">
        <v>40</v>
      </c>
      <c r="K132" s="18" t="s">
        <v>113</v>
      </c>
    </row>
    <row r="133" spans="1:11" ht="15.6" x14ac:dyDescent="0.3">
      <c r="A133" s="18" t="s">
        <v>135</v>
      </c>
      <c r="B133" s="18" t="s">
        <v>272</v>
      </c>
      <c r="C133" s="18" t="s">
        <v>139</v>
      </c>
      <c r="D133" s="18" t="s">
        <v>140</v>
      </c>
      <c r="E133" s="27">
        <v>59208</v>
      </c>
      <c r="F133" s="27">
        <v>80594</v>
      </c>
      <c r="G133" s="27">
        <f t="shared" si="4"/>
        <v>21386</v>
      </c>
      <c r="H133" s="28">
        <f t="shared" si="5"/>
        <v>4277.2</v>
      </c>
      <c r="I133" s="18" t="s">
        <v>41</v>
      </c>
      <c r="J133" s="18" t="s">
        <v>42</v>
      </c>
      <c r="K133" s="18" t="s">
        <v>103</v>
      </c>
    </row>
    <row r="134" spans="1:11" ht="15.6" x14ac:dyDescent="0.3">
      <c r="A134" s="18" t="s">
        <v>135</v>
      </c>
      <c r="B134" s="18" t="s">
        <v>273</v>
      </c>
      <c r="C134" s="18" t="s">
        <v>159</v>
      </c>
      <c r="D134" s="18" t="s">
        <v>160</v>
      </c>
      <c r="E134" s="27">
        <v>47728</v>
      </c>
      <c r="F134" s="27">
        <v>64098</v>
      </c>
      <c r="G134" s="27">
        <f t="shared" si="4"/>
        <v>16370</v>
      </c>
      <c r="H134" s="28">
        <f t="shared" si="5"/>
        <v>3274</v>
      </c>
      <c r="I134" s="18" t="s">
        <v>43</v>
      </c>
      <c r="J134" s="18" t="s">
        <v>44</v>
      </c>
      <c r="K134" s="18" t="s">
        <v>126</v>
      </c>
    </row>
    <row r="135" spans="1:11" ht="15.6" x14ac:dyDescent="0.3">
      <c r="A135" s="18" t="s">
        <v>135</v>
      </c>
      <c r="B135" s="18" t="s">
        <v>274</v>
      </c>
      <c r="C135" s="18" t="s">
        <v>139</v>
      </c>
      <c r="D135" s="18" t="s">
        <v>140</v>
      </c>
      <c r="E135" s="27">
        <v>32421</v>
      </c>
      <c r="F135" s="27">
        <v>37923</v>
      </c>
      <c r="G135" s="27">
        <f t="shared" si="4"/>
        <v>5502</v>
      </c>
      <c r="H135" s="28">
        <f t="shared" si="5"/>
        <v>550.20000000000005</v>
      </c>
      <c r="I135" s="18" t="s">
        <v>45</v>
      </c>
      <c r="J135" s="18" t="s">
        <v>46</v>
      </c>
      <c r="K135" s="18" t="s">
        <v>126</v>
      </c>
    </row>
    <row r="136" spans="1:11" ht="15.6" x14ac:dyDescent="0.3">
      <c r="A136" s="18" t="s">
        <v>137</v>
      </c>
      <c r="B136" s="18" t="s">
        <v>275</v>
      </c>
      <c r="C136" s="18" t="s">
        <v>163</v>
      </c>
      <c r="D136" s="18" t="s">
        <v>164</v>
      </c>
      <c r="E136" s="27">
        <v>63138</v>
      </c>
      <c r="F136" s="27">
        <v>74346</v>
      </c>
      <c r="G136" s="27">
        <f t="shared" si="4"/>
        <v>11208</v>
      </c>
      <c r="H136" s="28">
        <f t="shared" si="5"/>
        <v>2241.6</v>
      </c>
      <c r="I136" s="18" t="s">
        <v>47</v>
      </c>
      <c r="J136" s="18" t="s">
        <v>48</v>
      </c>
      <c r="K136" s="18" t="s">
        <v>121</v>
      </c>
    </row>
    <row r="137" spans="1:11" ht="15.6" x14ac:dyDescent="0.3">
      <c r="A137" s="18" t="s">
        <v>137</v>
      </c>
      <c r="B137" s="18" t="s">
        <v>276</v>
      </c>
      <c r="C137" s="18" t="s">
        <v>149</v>
      </c>
      <c r="D137" s="18" t="s">
        <v>150</v>
      </c>
      <c r="E137" s="27">
        <v>36050</v>
      </c>
      <c r="F137" s="27">
        <v>43712</v>
      </c>
      <c r="G137" s="27">
        <f t="shared" si="4"/>
        <v>7662</v>
      </c>
      <c r="H137" s="28">
        <f t="shared" si="5"/>
        <v>766.2</v>
      </c>
      <c r="I137" s="18" t="s">
        <v>49</v>
      </c>
      <c r="J137" s="18" t="s">
        <v>50</v>
      </c>
      <c r="K137" s="18" t="s">
        <v>126</v>
      </c>
    </row>
    <row r="138" spans="1:11" ht="15.6" x14ac:dyDescent="0.3">
      <c r="A138" s="18" t="s">
        <v>137</v>
      </c>
      <c r="B138" s="18" t="s">
        <v>277</v>
      </c>
      <c r="C138" s="18" t="s">
        <v>146</v>
      </c>
      <c r="D138" s="18" t="s">
        <v>147</v>
      </c>
      <c r="E138" s="27">
        <v>83668</v>
      </c>
      <c r="F138" s="27">
        <v>102829</v>
      </c>
      <c r="G138" s="27">
        <f t="shared" si="4"/>
        <v>19161</v>
      </c>
      <c r="H138" s="28">
        <f t="shared" si="5"/>
        <v>3832.2000000000003</v>
      </c>
      <c r="I138" s="18" t="s">
        <v>51</v>
      </c>
      <c r="J138" s="18" t="s">
        <v>52</v>
      </c>
      <c r="K138" s="18" t="s">
        <v>103</v>
      </c>
    </row>
    <row r="139" spans="1:11" ht="15.6" x14ac:dyDescent="0.3">
      <c r="A139" s="18" t="s">
        <v>137</v>
      </c>
      <c r="B139" s="18" t="s">
        <v>278</v>
      </c>
      <c r="C139" s="18" t="s">
        <v>149</v>
      </c>
      <c r="D139" s="18" t="s">
        <v>150</v>
      </c>
      <c r="E139" s="27">
        <v>65776</v>
      </c>
      <c r="F139" s="27">
        <v>83656</v>
      </c>
      <c r="G139" s="27">
        <f t="shared" si="4"/>
        <v>17880</v>
      </c>
      <c r="H139" s="28">
        <f t="shared" si="5"/>
        <v>3576</v>
      </c>
      <c r="I139" s="18" t="s">
        <v>53</v>
      </c>
      <c r="J139" s="18" t="s">
        <v>54</v>
      </c>
      <c r="K139" s="18" t="s">
        <v>121</v>
      </c>
    </row>
    <row r="140" spans="1:11" ht="15.6" x14ac:dyDescent="0.3">
      <c r="A140" s="18" t="s">
        <v>137</v>
      </c>
      <c r="B140" s="18" t="s">
        <v>279</v>
      </c>
      <c r="C140" s="18" t="s">
        <v>139</v>
      </c>
      <c r="D140" s="18" t="s">
        <v>140</v>
      </c>
      <c r="E140" s="27">
        <v>75071</v>
      </c>
      <c r="F140" s="27">
        <v>87122</v>
      </c>
      <c r="G140" s="27">
        <f t="shared" si="4"/>
        <v>12051</v>
      </c>
      <c r="H140" s="28">
        <f t="shared" si="5"/>
        <v>2410.2000000000003</v>
      </c>
      <c r="I140" s="18" t="s">
        <v>55</v>
      </c>
      <c r="J140" s="18" t="s">
        <v>56</v>
      </c>
      <c r="K140" s="18" t="s">
        <v>113</v>
      </c>
    </row>
    <row r="141" spans="1:11" ht="15.6" x14ac:dyDescent="0.3">
      <c r="A141" s="18" t="s">
        <v>137</v>
      </c>
      <c r="B141" s="18" t="s">
        <v>280</v>
      </c>
      <c r="C141" s="18" t="s">
        <v>101</v>
      </c>
      <c r="D141" s="18" t="s">
        <v>102</v>
      </c>
      <c r="E141" s="27">
        <v>43017</v>
      </c>
      <c r="F141" s="27">
        <v>52595</v>
      </c>
      <c r="G141" s="27">
        <f t="shared" si="4"/>
        <v>9578</v>
      </c>
      <c r="H141" s="28">
        <f t="shared" si="5"/>
        <v>1915.6000000000001</v>
      </c>
      <c r="I141" s="18" t="s">
        <v>57</v>
      </c>
      <c r="J141" s="18" t="s">
        <v>58</v>
      </c>
      <c r="K141" s="18" t="s">
        <v>116</v>
      </c>
    </row>
    <row r="142" spans="1:11" ht="15.6" x14ac:dyDescent="0.3">
      <c r="A142" s="18" t="s">
        <v>137</v>
      </c>
      <c r="B142" s="18" t="s">
        <v>281</v>
      </c>
      <c r="C142" s="18" t="s">
        <v>101</v>
      </c>
      <c r="D142" s="18" t="s">
        <v>102</v>
      </c>
      <c r="E142" s="27">
        <v>29782</v>
      </c>
      <c r="F142" s="27">
        <v>34845</v>
      </c>
      <c r="G142" s="27">
        <f t="shared" si="4"/>
        <v>5063</v>
      </c>
      <c r="H142" s="28">
        <f t="shared" si="5"/>
        <v>506.3</v>
      </c>
      <c r="I142" s="18" t="s">
        <v>39</v>
      </c>
      <c r="J142" s="18" t="s">
        <v>40</v>
      </c>
      <c r="K142" s="18" t="s">
        <v>126</v>
      </c>
    </row>
    <row r="143" spans="1:11" ht="15.6" x14ac:dyDescent="0.3">
      <c r="A143" s="18" t="s">
        <v>137</v>
      </c>
      <c r="B143" s="18" t="s">
        <v>282</v>
      </c>
      <c r="C143" s="18" t="s">
        <v>119</v>
      </c>
      <c r="D143" s="18" t="s">
        <v>120</v>
      </c>
      <c r="E143" s="27">
        <v>70989</v>
      </c>
      <c r="F143" s="27">
        <v>84364</v>
      </c>
      <c r="G143" s="27">
        <f t="shared" si="4"/>
        <v>13375</v>
      </c>
      <c r="H143" s="28">
        <f t="shared" si="5"/>
        <v>2675</v>
      </c>
      <c r="I143" s="18" t="s">
        <v>41</v>
      </c>
      <c r="J143" s="18" t="s">
        <v>42</v>
      </c>
      <c r="K143" s="18" t="s">
        <v>116</v>
      </c>
    </row>
    <row r="144" spans="1:11" ht="15.6" x14ac:dyDescent="0.3">
      <c r="A144" s="18" t="s">
        <v>137</v>
      </c>
      <c r="B144" s="18" t="s">
        <v>283</v>
      </c>
      <c r="C144" s="18" t="s">
        <v>159</v>
      </c>
      <c r="D144" s="18" t="s">
        <v>160</v>
      </c>
      <c r="E144" s="27">
        <v>33630</v>
      </c>
      <c r="F144" s="27">
        <v>41398</v>
      </c>
      <c r="G144" s="27">
        <f t="shared" si="4"/>
        <v>7768</v>
      </c>
      <c r="H144" s="28">
        <f t="shared" si="5"/>
        <v>776.80000000000007</v>
      </c>
      <c r="I144" s="18" t="s">
        <v>43</v>
      </c>
      <c r="J144" s="18" t="s">
        <v>44</v>
      </c>
      <c r="K144" s="18" t="s">
        <v>103</v>
      </c>
    </row>
    <row r="145" spans="1:11" ht="15.6" x14ac:dyDescent="0.3">
      <c r="A145" s="18" t="s">
        <v>137</v>
      </c>
      <c r="B145" s="18" t="s">
        <v>284</v>
      </c>
      <c r="C145" s="18" t="s">
        <v>124</v>
      </c>
      <c r="D145" s="18" t="s">
        <v>125</v>
      </c>
      <c r="E145" s="27">
        <v>87051</v>
      </c>
      <c r="F145" s="27">
        <v>108629</v>
      </c>
      <c r="G145" s="27">
        <f t="shared" si="4"/>
        <v>21578</v>
      </c>
      <c r="H145" s="28">
        <f t="shared" si="5"/>
        <v>4315.6000000000004</v>
      </c>
      <c r="I145" s="18" t="s">
        <v>45</v>
      </c>
      <c r="J145" s="18" t="s">
        <v>46</v>
      </c>
      <c r="K145" s="18" t="s">
        <v>103</v>
      </c>
    </row>
    <row r="146" spans="1:11" ht="15.6" x14ac:dyDescent="0.3">
      <c r="A146" s="18" t="s">
        <v>137</v>
      </c>
      <c r="B146" s="18" t="s">
        <v>285</v>
      </c>
      <c r="C146" s="18" t="s">
        <v>139</v>
      </c>
      <c r="D146" s="18" t="s">
        <v>140</v>
      </c>
      <c r="E146" s="27">
        <v>69241</v>
      </c>
      <c r="F146" s="27">
        <v>82177</v>
      </c>
      <c r="G146" s="27">
        <f t="shared" si="4"/>
        <v>12936</v>
      </c>
      <c r="H146" s="28">
        <f t="shared" si="5"/>
        <v>2587.2000000000003</v>
      </c>
      <c r="I146" s="18" t="s">
        <v>47</v>
      </c>
      <c r="J146" s="18" t="s">
        <v>48</v>
      </c>
      <c r="K146" s="18" t="s">
        <v>103</v>
      </c>
    </row>
    <row r="147" spans="1:11" ht="15.6" x14ac:dyDescent="0.3">
      <c r="A147" s="18" t="s">
        <v>137</v>
      </c>
      <c r="B147" s="18" t="s">
        <v>286</v>
      </c>
      <c r="C147" s="18" t="s">
        <v>139</v>
      </c>
      <c r="D147" s="18" t="s">
        <v>140</v>
      </c>
      <c r="E147" s="27">
        <v>29482</v>
      </c>
      <c r="F147" s="27">
        <v>37245</v>
      </c>
      <c r="G147" s="27">
        <f t="shared" si="4"/>
        <v>7763</v>
      </c>
      <c r="H147" s="28">
        <f t="shared" si="5"/>
        <v>776.30000000000007</v>
      </c>
      <c r="I147" s="18" t="s">
        <v>49</v>
      </c>
      <c r="J147" s="18" t="s">
        <v>50</v>
      </c>
      <c r="K147" s="18" t="s">
        <v>113</v>
      </c>
    </row>
    <row r="148" spans="1:11" ht="15.6" x14ac:dyDescent="0.3">
      <c r="A148" s="18" t="s">
        <v>137</v>
      </c>
      <c r="B148" s="18" t="s">
        <v>287</v>
      </c>
      <c r="C148" s="18" t="s">
        <v>159</v>
      </c>
      <c r="D148" s="18" t="s">
        <v>160</v>
      </c>
      <c r="E148" s="27">
        <v>47631</v>
      </c>
      <c r="F148" s="27">
        <v>67239</v>
      </c>
      <c r="G148" s="27">
        <f t="shared" si="4"/>
        <v>19608</v>
      </c>
      <c r="H148" s="28">
        <f t="shared" si="5"/>
        <v>3921.6000000000004</v>
      </c>
      <c r="I148" s="18" t="s">
        <v>51</v>
      </c>
      <c r="J148" s="18" t="s">
        <v>52</v>
      </c>
      <c r="K148" s="18" t="s">
        <v>126</v>
      </c>
    </row>
    <row r="149" spans="1:11" ht="15.6" x14ac:dyDescent="0.3">
      <c r="A149" s="18" t="s">
        <v>141</v>
      </c>
      <c r="B149" s="18" t="s">
        <v>288</v>
      </c>
      <c r="C149" s="18" t="s">
        <v>139</v>
      </c>
      <c r="D149" s="18" t="s">
        <v>140</v>
      </c>
      <c r="E149" s="27">
        <v>53864</v>
      </c>
      <c r="F149" s="27">
        <v>69642</v>
      </c>
      <c r="G149" s="27">
        <f t="shared" si="4"/>
        <v>15778</v>
      </c>
      <c r="H149" s="28">
        <f t="shared" si="5"/>
        <v>3155.6000000000004</v>
      </c>
      <c r="I149" s="18" t="s">
        <v>53</v>
      </c>
      <c r="J149" s="18" t="s">
        <v>54</v>
      </c>
      <c r="K149" s="18" t="s">
        <v>121</v>
      </c>
    </row>
    <row r="150" spans="1:11" ht="15.6" x14ac:dyDescent="0.3">
      <c r="A150" s="18" t="s">
        <v>141</v>
      </c>
      <c r="B150" s="18" t="s">
        <v>289</v>
      </c>
      <c r="C150" s="18" t="s">
        <v>101</v>
      </c>
      <c r="D150" s="18" t="s">
        <v>102</v>
      </c>
      <c r="E150" s="27">
        <v>46020</v>
      </c>
      <c r="F150" s="27">
        <v>52148</v>
      </c>
      <c r="G150" s="27">
        <f t="shared" si="4"/>
        <v>6128</v>
      </c>
      <c r="H150" s="28">
        <f t="shared" si="5"/>
        <v>1225.6000000000001</v>
      </c>
      <c r="I150" s="18" t="s">
        <v>55</v>
      </c>
      <c r="J150" s="18" t="s">
        <v>56</v>
      </c>
      <c r="K150" s="18" t="s">
        <v>108</v>
      </c>
    </row>
    <row r="151" spans="1:11" ht="15.6" x14ac:dyDescent="0.3">
      <c r="A151" s="18" t="s">
        <v>141</v>
      </c>
      <c r="B151" s="18" t="s">
        <v>290</v>
      </c>
      <c r="C151" s="18" t="s">
        <v>129</v>
      </c>
      <c r="D151" s="18" t="s">
        <v>130</v>
      </c>
      <c r="E151" s="27">
        <v>53369</v>
      </c>
      <c r="F151" s="27">
        <v>64364</v>
      </c>
      <c r="G151" s="27">
        <f t="shared" si="4"/>
        <v>10995</v>
      </c>
      <c r="H151" s="28">
        <f t="shared" si="5"/>
        <v>2199</v>
      </c>
      <c r="I151" s="18" t="s">
        <v>57</v>
      </c>
      <c r="J151" s="18" t="s">
        <v>58</v>
      </c>
      <c r="K151" s="18" t="s">
        <v>126</v>
      </c>
    </row>
    <row r="152" spans="1:11" ht="15.6" x14ac:dyDescent="0.3">
      <c r="A152" s="18" t="s">
        <v>141</v>
      </c>
      <c r="B152" s="18" t="s">
        <v>291</v>
      </c>
      <c r="C152" s="18" t="s">
        <v>101</v>
      </c>
      <c r="D152" s="18" t="s">
        <v>102</v>
      </c>
      <c r="E152" s="27">
        <v>40505</v>
      </c>
      <c r="F152" s="27">
        <v>45192</v>
      </c>
      <c r="G152" s="27">
        <f t="shared" si="4"/>
        <v>4687</v>
      </c>
      <c r="H152" s="28">
        <f t="shared" si="5"/>
        <v>468.70000000000005</v>
      </c>
      <c r="I152" s="18" t="s">
        <v>39</v>
      </c>
      <c r="J152" s="18" t="s">
        <v>40</v>
      </c>
      <c r="K152" s="18" t="s">
        <v>116</v>
      </c>
    </row>
    <row r="153" spans="1:11" ht="15.6" x14ac:dyDescent="0.3">
      <c r="A153" s="18" t="s">
        <v>141</v>
      </c>
      <c r="B153" s="18" t="s">
        <v>292</v>
      </c>
      <c r="C153" s="18" t="s">
        <v>139</v>
      </c>
      <c r="D153" s="18" t="s">
        <v>140</v>
      </c>
      <c r="E153" s="27">
        <v>62949</v>
      </c>
      <c r="F153" s="27">
        <v>74534</v>
      </c>
      <c r="G153" s="27">
        <f t="shared" si="4"/>
        <v>11585</v>
      </c>
      <c r="H153" s="28">
        <f t="shared" si="5"/>
        <v>2317</v>
      </c>
      <c r="I153" s="18" t="s">
        <v>41</v>
      </c>
      <c r="J153" s="18" t="s">
        <v>42</v>
      </c>
      <c r="K153" s="18" t="s">
        <v>113</v>
      </c>
    </row>
    <row r="154" spans="1:11" ht="15.6" x14ac:dyDescent="0.3">
      <c r="A154" s="18" t="s">
        <v>141</v>
      </c>
      <c r="B154" s="18" t="s">
        <v>293</v>
      </c>
      <c r="C154" s="18" t="s">
        <v>156</v>
      </c>
      <c r="D154" s="18" t="s">
        <v>157</v>
      </c>
      <c r="E154" s="27">
        <v>80871</v>
      </c>
      <c r="F154" s="27">
        <v>86033</v>
      </c>
      <c r="G154" s="27">
        <f t="shared" si="4"/>
        <v>5162</v>
      </c>
      <c r="H154" s="28">
        <f t="shared" si="5"/>
        <v>1032.4000000000001</v>
      </c>
      <c r="I154" s="18" t="s">
        <v>43</v>
      </c>
      <c r="J154" s="18" t="s">
        <v>44</v>
      </c>
      <c r="K154" s="18" t="s">
        <v>126</v>
      </c>
    </row>
    <row r="155" spans="1:11" ht="15.6" x14ac:dyDescent="0.3">
      <c r="A155" s="18" t="s">
        <v>141</v>
      </c>
      <c r="B155" s="18" t="s">
        <v>294</v>
      </c>
      <c r="C155" s="18" t="s">
        <v>139</v>
      </c>
      <c r="D155" s="18" t="s">
        <v>140</v>
      </c>
      <c r="E155" s="27">
        <v>83545</v>
      </c>
      <c r="F155" s="27">
        <v>91486</v>
      </c>
      <c r="G155" s="27">
        <f t="shared" si="4"/>
        <v>7941</v>
      </c>
      <c r="H155" s="28">
        <f t="shared" si="5"/>
        <v>1588.2</v>
      </c>
      <c r="I155" s="18" t="s">
        <v>45</v>
      </c>
      <c r="J155" s="18" t="s">
        <v>46</v>
      </c>
      <c r="K155" s="18" t="s">
        <v>113</v>
      </c>
    </row>
    <row r="156" spans="1:11" ht="15.6" x14ac:dyDescent="0.3">
      <c r="A156" s="18" t="s">
        <v>141</v>
      </c>
      <c r="B156" s="18" t="s">
        <v>295</v>
      </c>
      <c r="C156" s="18" t="s">
        <v>124</v>
      </c>
      <c r="D156" s="18" t="s">
        <v>125</v>
      </c>
      <c r="E156" s="27">
        <v>68456</v>
      </c>
      <c r="F156" s="27">
        <v>74821</v>
      </c>
      <c r="G156" s="27">
        <f t="shared" si="4"/>
        <v>6365</v>
      </c>
      <c r="H156" s="28">
        <f t="shared" si="5"/>
        <v>1273</v>
      </c>
      <c r="I156" s="18" t="s">
        <v>47</v>
      </c>
      <c r="J156" s="18" t="s">
        <v>48</v>
      </c>
      <c r="K156" s="18" t="s">
        <v>116</v>
      </c>
    </row>
    <row r="157" spans="1:11" ht="15.6" x14ac:dyDescent="0.3">
      <c r="A157" s="18" t="s">
        <v>141</v>
      </c>
      <c r="B157" s="18" t="s">
        <v>296</v>
      </c>
      <c r="C157" s="18" t="s">
        <v>106</v>
      </c>
      <c r="D157" s="18" t="s">
        <v>107</v>
      </c>
      <c r="E157" s="27">
        <v>37818</v>
      </c>
      <c r="F157" s="27">
        <v>44310</v>
      </c>
      <c r="G157" s="27">
        <f t="shared" si="4"/>
        <v>6492</v>
      </c>
      <c r="H157" s="28">
        <f t="shared" si="5"/>
        <v>649.20000000000005</v>
      </c>
      <c r="I157" s="18" t="s">
        <v>49</v>
      </c>
      <c r="J157" s="18" t="s">
        <v>50</v>
      </c>
      <c r="K157" s="18" t="s">
        <v>103</v>
      </c>
    </row>
    <row r="158" spans="1:11" ht="15.6" x14ac:dyDescent="0.3">
      <c r="A158" s="18" t="s">
        <v>141</v>
      </c>
      <c r="B158" s="18" t="s">
        <v>297</v>
      </c>
      <c r="C158" s="18" t="s">
        <v>129</v>
      </c>
      <c r="D158" s="18" t="s">
        <v>130</v>
      </c>
      <c r="E158" s="27">
        <v>35536</v>
      </c>
      <c r="F158" s="27">
        <v>45623</v>
      </c>
      <c r="G158" s="27">
        <f t="shared" si="4"/>
        <v>10087</v>
      </c>
      <c r="H158" s="28">
        <f t="shared" si="5"/>
        <v>1008.7</v>
      </c>
      <c r="I158" s="18" t="s">
        <v>51</v>
      </c>
      <c r="J158" s="18" t="s">
        <v>52</v>
      </c>
      <c r="K158" s="18" t="s">
        <v>103</v>
      </c>
    </row>
    <row r="159" spans="1:11" ht="15.6" x14ac:dyDescent="0.3">
      <c r="A159" s="18" t="s">
        <v>141</v>
      </c>
      <c r="B159" s="18" t="s">
        <v>298</v>
      </c>
      <c r="C159" s="18" t="s">
        <v>163</v>
      </c>
      <c r="D159" s="18" t="s">
        <v>164</v>
      </c>
      <c r="E159" s="27">
        <v>81382</v>
      </c>
      <c r="F159" s="27">
        <v>99145</v>
      </c>
      <c r="G159" s="27">
        <f t="shared" si="4"/>
        <v>17763</v>
      </c>
      <c r="H159" s="28">
        <f t="shared" si="5"/>
        <v>3552.6000000000004</v>
      </c>
      <c r="I159" s="18" t="s">
        <v>53</v>
      </c>
      <c r="J159" s="18" t="s">
        <v>54</v>
      </c>
      <c r="K159" s="18" t="s">
        <v>108</v>
      </c>
    </row>
    <row r="160" spans="1:11" ht="15.6" x14ac:dyDescent="0.3">
      <c r="A160" s="18" t="s">
        <v>141</v>
      </c>
      <c r="B160" s="18" t="s">
        <v>299</v>
      </c>
      <c r="C160" s="18" t="s">
        <v>163</v>
      </c>
      <c r="D160" s="18" t="s">
        <v>164</v>
      </c>
      <c r="E160" s="27">
        <v>62387</v>
      </c>
      <c r="F160" s="27">
        <v>72284</v>
      </c>
      <c r="G160" s="27">
        <f t="shared" si="4"/>
        <v>9897</v>
      </c>
      <c r="H160" s="28">
        <f t="shared" si="5"/>
        <v>1979.4</v>
      </c>
      <c r="I160" s="18" t="s">
        <v>55</v>
      </c>
      <c r="J160" s="18" t="s">
        <v>56</v>
      </c>
      <c r="K160" s="18" t="s">
        <v>108</v>
      </c>
    </row>
    <row r="161" spans="1:11" ht="15.6" x14ac:dyDescent="0.3">
      <c r="A161" s="18" t="s">
        <v>141</v>
      </c>
      <c r="B161" s="18" t="s">
        <v>300</v>
      </c>
      <c r="C161" s="18" t="s">
        <v>163</v>
      </c>
      <c r="D161" s="18" t="s">
        <v>164</v>
      </c>
      <c r="E161" s="27">
        <v>70547</v>
      </c>
      <c r="F161" s="27">
        <v>80290</v>
      </c>
      <c r="G161" s="27">
        <f t="shared" si="4"/>
        <v>9743</v>
      </c>
      <c r="H161" s="28">
        <f t="shared" si="5"/>
        <v>1948.6000000000001</v>
      </c>
      <c r="I161" s="18" t="s">
        <v>57</v>
      </c>
      <c r="J161" s="18" t="s">
        <v>58</v>
      </c>
      <c r="K161" s="18" t="s">
        <v>126</v>
      </c>
    </row>
    <row r="163" spans="1:11" ht="15.6" x14ac:dyDescent="0.3">
      <c r="A163" s="18" t="s">
        <v>304</v>
      </c>
      <c r="F163" s="2">
        <f>SUM(F2:F161)</f>
        <v>10424812</v>
      </c>
    </row>
    <row r="164" spans="1:11" ht="15.6" x14ac:dyDescent="0.3">
      <c r="A164" s="18" t="s">
        <v>306</v>
      </c>
      <c r="F164" s="3">
        <f>SUMIF(F2:F161,"&gt;50000")</f>
        <v>8670767</v>
      </c>
    </row>
    <row r="165" spans="1:11" ht="15.6" x14ac:dyDescent="0.3">
      <c r="A165" s="18" t="s">
        <v>305</v>
      </c>
      <c r="F165" s="3">
        <f>SUMIF(F2:F161,"&lt;=50000")</f>
        <v>1754045</v>
      </c>
    </row>
  </sheetData>
  <sortState xmlns:xlrd2="http://schemas.microsoft.com/office/spreadsheetml/2017/richdata2" ref="A2:A161">
    <sortCondition ref="A2:A161" customList="January,February,March,April,May,June,July,August,September,October,November,December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Payroll</vt:lpstr>
      <vt:lpstr>GradeBook</vt:lpstr>
      <vt:lpstr>CareerDecision</vt:lpstr>
      <vt:lpstr>SalesReport2</vt:lpstr>
      <vt:lpstr>SalesReport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Raj</dc:creator>
  <cp:lastModifiedBy>Kritika Raj</cp:lastModifiedBy>
  <dcterms:created xsi:type="dcterms:W3CDTF">2026-09-03T06:10:25Z</dcterms:created>
  <dcterms:modified xsi:type="dcterms:W3CDTF">2026-09-07T17:13:06Z</dcterms:modified>
</cp:coreProperties>
</file>